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ini projects\"/>
    </mc:Choice>
  </mc:AlternateContent>
  <xr:revisionPtr revIDLastSave="0" documentId="8_{046496E7-0F5D-4736-A8E6-8B4B610C4D51}" xr6:coauthVersionLast="47" xr6:coauthVersionMax="47" xr10:uidLastSave="{00000000-0000-0000-0000-000000000000}"/>
  <bookViews>
    <workbookView xWindow="-108" yWindow="-108" windowWidth="23256" windowHeight="13176" activeTab="2" xr2:uid="{26C09B69-9971-47B7-8822-2119029DEA77}"/>
  </bookViews>
  <sheets>
    <sheet name="pivot" sheetId="5" r:id="rId1"/>
    <sheet name="Dashboard" sheetId="6" r:id="rId2"/>
    <sheet name="scorecard" sheetId="1" r:id="rId3"/>
  </sheets>
  <calcPr calcId="191029"/>
  <pivotCaches>
    <pivotCache cacheId="0" r:id="rId4"/>
    <pivotCache cacheId="1" r:id="rId5"/>
    <pivotCache cacheId="2" r:id="rId6"/>
    <pivotCache cacheId="3" r:id="rId7"/>
  </pivotCaches>
</workbook>
</file>

<file path=xl/calcChain.xml><?xml version="1.0" encoding="utf-8"?>
<calcChain xmlns="http://schemas.openxmlformats.org/spreadsheetml/2006/main">
  <c r="H12" i="1" l="1"/>
  <c r="H13" i="1"/>
  <c r="H11" i="1"/>
  <c r="D16" i="1"/>
  <c r="E15" i="1"/>
  <c r="F15" i="1"/>
  <c r="C15" i="1"/>
  <c r="R23" i="1"/>
  <c r="R21" i="1"/>
  <c r="R22" i="1"/>
  <c r="R24" i="1"/>
  <c r="R25" i="1"/>
  <c r="R26" i="1"/>
  <c r="R20" i="1"/>
  <c r="F24" i="1"/>
  <c r="F25" i="1"/>
  <c r="F26" i="1"/>
  <c r="F27" i="1"/>
  <c r="F28" i="1"/>
  <c r="F29" i="1"/>
  <c r="F23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O14" i="1"/>
  <c r="Q14" i="1"/>
  <c r="R14" i="1"/>
  <c r="P15" i="1"/>
  <c r="H3" i="1"/>
  <c r="H4" i="1"/>
  <c r="H5" i="1"/>
  <c r="H6" i="1"/>
  <c r="H7" i="1"/>
  <c r="H8" i="1"/>
  <c r="H9" i="1"/>
  <c r="H10" i="1"/>
  <c r="G9" i="1"/>
  <c r="G4" i="1"/>
  <c r="G5" i="1"/>
  <c r="G6" i="1"/>
  <c r="G7" i="1"/>
  <c r="G8" i="1"/>
  <c r="G10" i="1"/>
  <c r="G3" i="1"/>
  <c r="C16" i="1" l="1"/>
  <c r="O15" i="1"/>
</calcChain>
</file>

<file path=xl/sharedStrings.xml><?xml version="1.0" encoding="utf-8"?>
<sst xmlns="http://schemas.openxmlformats.org/spreadsheetml/2006/main" count="233" uniqueCount="56">
  <si>
    <t>sno</t>
  </si>
  <si>
    <t>player_name</t>
  </si>
  <si>
    <t>runs</t>
  </si>
  <si>
    <t>balls_faced</t>
  </si>
  <si>
    <t>6s</t>
  </si>
  <si>
    <t>4s</t>
  </si>
  <si>
    <t>I kishan</t>
  </si>
  <si>
    <t>A sharma</t>
  </si>
  <si>
    <t>T varma</t>
  </si>
  <si>
    <t>S yadav</t>
  </si>
  <si>
    <t>H pandya</t>
  </si>
  <si>
    <t>S dube</t>
  </si>
  <si>
    <t>A patel</t>
  </si>
  <si>
    <t>strike_rate</t>
  </si>
  <si>
    <t>total</t>
  </si>
  <si>
    <t>out/notout</t>
  </si>
  <si>
    <t>R singh*</t>
  </si>
  <si>
    <t>Total</t>
  </si>
  <si>
    <t>wickets</t>
  </si>
  <si>
    <t>S farhan</t>
  </si>
  <si>
    <t>S ayub</t>
  </si>
  <si>
    <t>S agha</t>
  </si>
  <si>
    <t>B azam</t>
  </si>
  <si>
    <t>U khan</t>
  </si>
  <si>
    <t>S khan</t>
  </si>
  <si>
    <t>M nawaz</t>
  </si>
  <si>
    <t>F ashraf</t>
  </si>
  <si>
    <t>A amhed</t>
  </si>
  <si>
    <t>U tariq</t>
  </si>
  <si>
    <t>Wickets</t>
  </si>
  <si>
    <t>S afridi*</t>
  </si>
  <si>
    <t>overs</t>
  </si>
  <si>
    <t>Row Labels</t>
  </si>
  <si>
    <t>Sum of runs</t>
  </si>
  <si>
    <t>Sum of 6s</t>
  </si>
  <si>
    <t>Sum of strike_rate</t>
  </si>
  <si>
    <t>Sum of 4s</t>
  </si>
  <si>
    <t>Pakistan_Batting</t>
  </si>
  <si>
    <t>Indian_Batting</t>
  </si>
  <si>
    <t>Indian_Bowling</t>
  </si>
  <si>
    <t>Player_name</t>
  </si>
  <si>
    <t>madien</t>
  </si>
  <si>
    <t xml:space="preserve">wickets </t>
  </si>
  <si>
    <t>eco</t>
  </si>
  <si>
    <t>Paksitan_bowling</t>
  </si>
  <si>
    <t>J bumrah</t>
  </si>
  <si>
    <t>V chakaravarthy</t>
  </si>
  <si>
    <t>K yadav</t>
  </si>
  <si>
    <t>R singh</t>
  </si>
  <si>
    <t xml:space="preserve">S agha </t>
  </si>
  <si>
    <t>S afridi</t>
  </si>
  <si>
    <t>A ahmed</t>
  </si>
  <si>
    <t>Sum of eco</t>
  </si>
  <si>
    <t>Sum of overs</t>
  </si>
  <si>
    <t xml:space="preserve">Sum of wickets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</si>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</sst>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0" fontId="0" fillId="33" borderId="0" xfId="0" applyFill="1"/>
    <xf numFmtId="0" fontId="0" fillId="34" borderId="0" xfId="0" applyFill="1"/>
    <xf numFmtId="2" fontId="0" fillId="0" borderId="0" xfId="0" applyNumberFormat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165" formatCode="0.0%"/>
    </dxf>
    <dxf>
      <numFmt numFmtId="165" formatCode="0.0%"/>
    </dxf>
    <dxf>
      <numFmt numFmtId="165" formatCode="0.0%"/>
    </dxf>
    <dxf>
      <numFmt numFmtId="164" formatCode="0.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</dxf>
    <dxf>
      <numFmt numFmtId="165" formatCode="0.0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Runs  percentage</a:t>
            </a:r>
          </a:p>
        </c:rich>
      </c:tx>
      <c:layout>
        <c:manualLayout>
          <c:xMode val="edge"/>
          <c:yMode val="edge"/>
          <c:x val="0.3999652230971128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Sum of 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88-476C-B3E7-BC6D7E0508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88-476C-B3E7-BC6D7E0508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88-476C-B3E7-BC6D7E0508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88-476C-B3E7-BC6D7E0508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88-476C-B3E7-BC6D7E0508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88-476C-B3E7-BC6D7E0508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88-476C-B3E7-BC6D7E0508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88-476C-B3E7-BC6D7E0508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D02-4191-8FF5-B8891629CE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D02-4191-8FF5-B8891629CE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D02-4191-8FF5-B8891629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pivot!$A$4:$A$14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pivot!$B$4:$B$14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0.44767441860465118</c:v>
                </c:pt>
                <c:pt idx="4">
                  <c:v>6.3953488372093026E-2</c:v>
                </c:pt>
                <c:pt idx="5">
                  <c:v>0.15697674418604651</c:v>
                </c:pt>
                <c:pt idx="6">
                  <c:v>0.18604651162790697</c:v>
                </c:pt>
                <c:pt idx="7">
                  <c:v>0.14534883720930233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2-4E30-B28A-2B3D87464BBA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strike_rate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88-476C-B3E7-BC6D7E0508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88-476C-B3E7-BC6D7E0508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88-476C-B3E7-BC6D7E0508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88-476C-B3E7-BC6D7E0508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7B88-476C-B3E7-BC6D7E0508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7B88-476C-B3E7-BC6D7E0508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7B88-476C-B3E7-BC6D7E0508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7B88-476C-B3E7-BC6D7E0508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9D02-4191-8FF5-B8891629CE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9D02-4191-8FF5-B8891629CE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9D02-4191-8FF5-B8891629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pivot!$A$4:$A$14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pivot!$C$4:$C$14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192.5</c:v>
                </c:pt>
                <c:pt idx="4">
                  <c:v>275</c:v>
                </c:pt>
                <c:pt idx="5">
                  <c:v>158.8235294117647</c:v>
                </c:pt>
                <c:pt idx="6">
                  <c:v>110.34482758620689</c:v>
                </c:pt>
                <c:pt idx="7">
                  <c:v>104.16666666666667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E2-4E30-B28A-2B3D87464BB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IndiaBatting</a:t>
            </a:r>
            <a:r>
              <a:rPr lang="en-US" baseline="0"/>
              <a:t> strike rate</a:t>
            </a:r>
            <a:endParaRPr lang="en-US"/>
          </a:p>
        </c:rich>
      </c:tx>
      <c:layout>
        <c:manualLayout>
          <c:xMode val="edge"/>
          <c:yMode val="edge"/>
          <c:x val="0.456388888888888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pivot!$H$6:$H$16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pivot!$I$6:$I$16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192.5</c:v>
                </c:pt>
                <c:pt idx="4">
                  <c:v>275</c:v>
                </c:pt>
                <c:pt idx="5">
                  <c:v>158.8235294117647</c:v>
                </c:pt>
                <c:pt idx="6">
                  <c:v>110.34482758620689</c:v>
                </c:pt>
                <c:pt idx="7">
                  <c:v>104.16666666666667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3-407B-8BC9-813687365B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79207983"/>
        <c:axId val="279211343"/>
        <c:axId val="0"/>
      </c:bar3DChart>
      <c:catAx>
        <c:axId val="279207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Player</a:t>
                </a:r>
              </a:p>
            </c:rich>
          </c:tx>
          <c:layout>
            <c:manualLayout>
              <c:xMode val="edge"/>
              <c:yMode val="edge"/>
              <c:x val="0.45349671916010503"/>
              <c:y val="0.82611803732866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11343"/>
        <c:crosses val="autoZero"/>
        <c:auto val="1"/>
        <c:lblAlgn val="ctr"/>
        <c:lblOffset val="100"/>
        <c:noMultiLvlLbl val="0"/>
      </c:catAx>
      <c:valAx>
        <c:axId val="279211343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0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Pak</a:t>
            </a:r>
            <a:r>
              <a:rPr lang="en-US" baseline="0"/>
              <a:t> runs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pivot!$O$5</c:f>
              <c:strCache>
                <c:ptCount val="1"/>
                <c:pt idx="0">
                  <c:v>Sum of 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B2-4294-A01F-7BD9F28132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B2-4294-A01F-7BD9F28132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B2-4294-A01F-7BD9F28132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B2-4294-A01F-7BD9F28132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B2-4294-A01F-7BD9F28132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B2-4294-A01F-7BD9F28132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B2-4294-A01F-7BD9F28132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B2-4294-A01F-7BD9F28132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B2-4294-A01F-7BD9F28132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B2-4294-A01F-7BD9F28132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B2-4294-A01F-7BD9F2813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pivot!$N$6:$N$16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pivot!$O$6:$O$16</c:f>
              <c:numCache>
                <c:formatCode>0.00%</c:formatCode>
                <c:ptCount val="11"/>
                <c:pt idx="0">
                  <c:v>0</c:v>
                </c:pt>
                <c:pt idx="1">
                  <c:v>4.5454545454545456E-2</c:v>
                </c:pt>
                <c:pt idx="2">
                  <c:v>9.0909090909090912E-2</c:v>
                </c:pt>
                <c:pt idx="3">
                  <c:v>3.6363636363636362E-2</c:v>
                </c:pt>
                <c:pt idx="4">
                  <c:v>0.20909090909090908</c:v>
                </c:pt>
                <c:pt idx="5">
                  <c:v>3.6363636363636362E-2</c:v>
                </c:pt>
                <c:pt idx="6">
                  <c:v>5.4545454545454543E-2</c:v>
                </c:pt>
                <c:pt idx="7">
                  <c:v>0</c:v>
                </c:pt>
                <c:pt idx="8">
                  <c:v>0.12727272727272726</c:v>
                </c:pt>
                <c:pt idx="9">
                  <c:v>0.4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8-4068-906A-A114A6D6147F}"/>
            </c:ext>
          </c:extLst>
        </c:ser>
        <c:ser>
          <c:idx val="1"/>
          <c:order val="1"/>
          <c:tx>
            <c:strRef>
              <c:f>pivot!$P$5</c:f>
              <c:strCache>
                <c:ptCount val="1"/>
                <c:pt idx="0">
                  <c:v>Sum of strike_rate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B2-4294-A01F-7BD9F28132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0EB2-4294-A01F-7BD9F28132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0EB2-4294-A01F-7BD9F28132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0EB2-4294-A01F-7BD9F28132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0EB2-4294-A01F-7BD9F28132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0EB2-4294-A01F-7BD9F28132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0EB2-4294-A01F-7BD9F28132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0EB2-4294-A01F-7BD9F28132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0EB2-4294-A01F-7BD9F28132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0EB2-4294-A01F-7BD9F28132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0EB2-4294-A01F-7BD9F28132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pivot!$N$6:$N$16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pivot!$P$6:$P$16</c:f>
              <c:numCache>
                <c:formatCode>0.0</c:formatCode>
                <c:ptCount val="11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80</c:v>
                </c:pt>
                <c:pt idx="4">
                  <c:v>121.05263157894737</c:v>
                </c:pt>
                <c:pt idx="5">
                  <c:v>100</c:v>
                </c:pt>
                <c:pt idx="6">
                  <c:v>300</c:v>
                </c:pt>
                <c:pt idx="7">
                  <c:v>0</c:v>
                </c:pt>
                <c:pt idx="8">
                  <c:v>93.333333333333329</c:v>
                </c:pt>
                <c:pt idx="9">
                  <c:v>129.41176470588235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8-4068-906A-A114A6D614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scorecard.xlsx]pivot!PivotTable7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pivot!$V$6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pivot!$U$7:$U$17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pivot!$V$7:$V$17</c:f>
              <c:numCache>
                <c:formatCode>0.0</c:formatCode>
                <c:ptCount val="11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80</c:v>
                </c:pt>
                <c:pt idx="4">
                  <c:v>121.05263157894737</c:v>
                </c:pt>
                <c:pt idx="5">
                  <c:v>100</c:v>
                </c:pt>
                <c:pt idx="6">
                  <c:v>300</c:v>
                </c:pt>
                <c:pt idx="7">
                  <c:v>0</c:v>
                </c:pt>
                <c:pt idx="8">
                  <c:v>93.333333333333329</c:v>
                </c:pt>
                <c:pt idx="9">
                  <c:v>129.41176470588235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1-4E94-B792-4B4319056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31837775"/>
        <c:axId val="931838255"/>
        <c:axId val="110020783"/>
      </c:bar3DChart>
      <c:catAx>
        <c:axId val="93183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38255"/>
        <c:crosses val="autoZero"/>
        <c:auto val="1"/>
        <c:lblAlgn val="ctr"/>
        <c:lblOffset val="100"/>
        <c:noMultiLvlLbl val="0"/>
      </c:catAx>
      <c:valAx>
        <c:axId val="93183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37775"/>
        <c:crosses val="autoZero"/>
        <c:crossBetween val="between"/>
      </c:valAx>
      <c:serAx>
        <c:axId val="110020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382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pivot!$AC$10</c:f>
              <c:strCache>
                <c:ptCount val="1"/>
                <c:pt idx="0">
                  <c:v>Sum of 6s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pivot!$AB$11:$AB$21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pivot!$AC$11:$AC$21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5-4BF5-9C98-D0CAF30B8FAE}"/>
            </c:ext>
          </c:extLst>
        </c:ser>
        <c:ser>
          <c:idx val="1"/>
          <c:order val="1"/>
          <c:tx>
            <c:strRef>
              <c:f>pivot!$AD$10</c:f>
              <c:strCache>
                <c:ptCount val="1"/>
                <c:pt idx="0">
                  <c:v>Sum of 4s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pivot!$AB$11:$AB$21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pivot!$AD$11:$AD$21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5-4BF5-9C98-D0CAF30B8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778655"/>
        <c:axId val="873780575"/>
      </c:lineChart>
      <c:catAx>
        <c:axId val="87377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780575"/>
        <c:crosses val="autoZero"/>
        <c:auto val="1"/>
        <c:lblAlgn val="ctr"/>
        <c:lblOffset val="100"/>
        <c:noMultiLvlLbl val="0"/>
      </c:catAx>
      <c:valAx>
        <c:axId val="8737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77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scorecard.xlsx]pivot!PivotTable8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pivot!$AC$10</c:f>
              <c:strCache>
                <c:ptCount val="1"/>
                <c:pt idx="0">
                  <c:v>Sum of 6s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pivot!$AB$11:$AB$21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pivot!$AC$11:$AC$21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6-4735-85FF-C5039AC2DD7C}"/>
            </c:ext>
          </c:extLst>
        </c:ser>
        <c:ser>
          <c:idx val="1"/>
          <c:order val="1"/>
          <c:tx>
            <c:strRef>
              <c:f>pivot!$AD$10</c:f>
              <c:strCache>
                <c:ptCount val="1"/>
                <c:pt idx="0">
                  <c:v>Sum of 4s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pivot!$AB$11:$AB$21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pivot!$AD$11:$AD$21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6-4735-85FF-C5039AC2D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818575"/>
        <c:axId val="931821455"/>
        <c:axId val="862854895"/>
      </c:area3DChart>
      <c:catAx>
        <c:axId val="9318185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21455"/>
        <c:crosses val="autoZero"/>
        <c:auto val="1"/>
        <c:lblAlgn val="ctr"/>
        <c:lblOffset val="100"/>
        <c:noMultiLvlLbl val="0"/>
      </c:catAx>
      <c:valAx>
        <c:axId val="93182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18575"/>
        <c:crosses val="autoZero"/>
        <c:crossBetween val="midCat"/>
      </c:valAx>
      <c:serAx>
        <c:axId val="8628548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214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scorecard.xlsx]pivot!PivotTable9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pivot!$D$34</c:f>
              <c:strCache>
                <c:ptCount val="1"/>
                <c:pt idx="0">
                  <c:v>Sum of 6s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pivot!$C$35:$C$45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pivot!$D$35:$D$45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E-4AE2-B2B8-8F011CDC243E}"/>
            </c:ext>
          </c:extLst>
        </c:ser>
        <c:ser>
          <c:idx val="1"/>
          <c:order val="1"/>
          <c:tx>
            <c:strRef>
              <c:f>pivot!$E$34</c:f>
              <c:strCache>
                <c:ptCount val="1"/>
                <c:pt idx="0">
                  <c:v>Sum of 4s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pivot!$C$35:$C$45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pivot!$E$35:$E$45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E-4AE2-B2B8-8F011CDC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858895"/>
        <c:axId val="931859375"/>
        <c:axId val="478040943"/>
      </c:area3DChart>
      <c:catAx>
        <c:axId val="9318588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9375"/>
        <c:crosses val="autoZero"/>
        <c:auto val="1"/>
        <c:lblAlgn val="ctr"/>
        <c:lblOffset val="100"/>
        <c:noMultiLvlLbl val="0"/>
      </c:catAx>
      <c:valAx>
        <c:axId val="9318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8895"/>
        <c:crosses val="autoZero"/>
        <c:crossBetween val="midCat"/>
      </c:valAx>
      <c:serAx>
        <c:axId val="4780409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937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pivot!$P$38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pivot!$O$39:$O$45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pivot!$P$39:$P$45</c:f>
              <c:numCache>
                <c:formatCode>General</c:formatCode>
                <c:ptCount val="7"/>
                <c:pt idx="0">
                  <c:v>29</c:v>
                </c:pt>
                <c:pt idx="1">
                  <c:v>16</c:v>
                </c:pt>
                <c:pt idx="2">
                  <c:v>17</c:v>
                </c:pt>
                <c:pt idx="3">
                  <c:v>14</c:v>
                </c:pt>
                <c:pt idx="4">
                  <c:v>9</c:v>
                </c:pt>
                <c:pt idx="5">
                  <c:v>11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7C-409A-871B-F712AEFAF0ED}"/>
            </c:ext>
          </c:extLst>
        </c:ser>
        <c:ser>
          <c:idx val="1"/>
          <c:order val="1"/>
          <c:tx>
            <c:strRef>
              <c:f>pivot!$Q$38</c:f>
              <c:strCache>
                <c:ptCount val="1"/>
                <c:pt idx="0">
                  <c:v>Sum of eco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pivot!$O$39:$O$45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pivot!$Q$39:$Q$45</c:f>
              <c:numCache>
                <c:formatCode>0.00</c:formatCode>
                <c:ptCount val="7"/>
                <c:pt idx="0">
                  <c:v>7.25</c:v>
                </c:pt>
                <c:pt idx="1">
                  <c:v>5.333333333333333</c:v>
                </c:pt>
                <c:pt idx="2">
                  <c:v>8.5</c:v>
                </c:pt>
                <c:pt idx="3">
                  <c:v>4.666666666666667</c:v>
                </c:pt>
                <c:pt idx="4">
                  <c:v>9</c:v>
                </c:pt>
                <c:pt idx="5">
                  <c:v>5.5</c:v>
                </c:pt>
                <c:pt idx="6">
                  <c:v>5.666666666666667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7C-409A-871B-F712AEFAF0ED}"/>
            </c:ext>
          </c:extLst>
        </c:ser>
        <c:ser>
          <c:idx val="2"/>
          <c:order val="2"/>
          <c:tx>
            <c:strRef>
              <c:f>pivot!$R$38</c:f>
              <c:strCache>
                <c:ptCount val="1"/>
                <c:pt idx="0">
                  <c:v>Sum of overs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pivot!$O$39:$O$45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pivot!$R$39:$R$45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7C-409A-871B-F712AEFAF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472464"/>
        <c:axId val="101474384"/>
        <c:axId val="0"/>
      </c:bar3DChart>
      <c:catAx>
        <c:axId val="10147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4384"/>
        <c:crosses val="autoZero"/>
        <c:auto val="1"/>
        <c:lblAlgn val="ctr"/>
        <c:lblOffset val="100"/>
        <c:noMultiLvlLbl val="0"/>
      </c:catAx>
      <c:valAx>
        <c:axId val="101474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Economy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pivot!$W$44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85-4E48-877F-B6FF65F80B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785-4E48-877F-B6FF65F80B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785-4E48-877F-B6FF65F80B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785-4E48-877F-B6FF65F80B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785-4E48-877F-B6FF65F80B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785-4E48-877F-B6FF65F80B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785-4E48-877F-B6FF65F80B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pivot!$V$45:$V$51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pivot!$W$45:$W$51</c:f>
              <c:numCache>
                <c:formatCode>0.00%</c:formatCode>
                <c:ptCount val="7"/>
                <c:pt idx="0">
                  <c:v>0.15789473684210528</c:v>
                </c:pt>
                <c:pt idx="1">
                  <c:v>0.1161524500907441</c:v>
                </c:pt>
                <c:pt idx="2">
                  <c:v>0.18511796733212343</c:v>
                </c:pt>
                <c:pt idx="3">
                  <c:v>0.10163339382940111</c:v>
                </c:pt>
                <c:pt idx="4">
                  <c:v>0.1960072595281307</c:v>
                </c:pt>
                <c:pt idx="5">
                  <c:v>0.11978221415607986</c:v>
                </c:pt>
                <c:pt idx="6">
                  <c:v>0.12341197822141563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785-4E48-877F-B6FF65F80B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scorecard.xlsx]pivot!PivotTable5</c:name>
    <c:fmtId val="1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pivot!$AE$46</c:f>
              <c:strCache>
                <c:ptCount val="1"/>
                <c:pt idx="0">
                  <c:v>Sum of overs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pivot!$AD$47:$AD$53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pivot!$AE$47:$AE$53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0-475D-B035-8D1853C60F52}"/>
            </c:ext>
          </c:extLst>
        </c:ser>
        <c:ser>
          <c:idx val="1"/>
          <c:order val="1"/>
          <c:tx>
            <c:strRef>
              <c:f>pivot!$AF$46</c:f>
              <c:strCache>
                <c:ptCount val="1"/>
                <c:pt idx="0">
                  <c:v>Sum of wickets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pivot!$AD$47:$AD$53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pivot!$AF$47:$AF$53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70-475D-B035-8D1853C60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765872"/>
        <c:axId val="1970738992"/>
        <c:axId val="0"/>
      </c:area3DChart>
      <c:catAx>
        <c:axId val="197076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38992"/>
        <c:crosses val="autoZero"/>
        <c:auto val="1"/>
        <c:lblAlgn val="ctr"/>
        <c:lblOffset val="100"/>
        <c:noMultiLvlLbl val="0"/>
      </c:catAx>
      <c:valAx>
        <c:axId val="197073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65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scorecard.xlsx]pivot!PivotTable10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pivot!$B$55</c:f>
              <c:strCache>
                <c:ptCount val="1"/>
                <c:pt idx="0">
                  <c:v>Sum of overs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pivot!$A$56:$A$62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pivot!$B$56:$B$62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B-4D20-A8A2-2D55D37D6420}"/>
            </c:ext>
          </c:extLst>
        </c:ser>
        <c:ser>
          <c:idx val="1"/>
          <c:order val="1"/>
          <c:tx>
            <c:strRef>
              <c:f>pivot!$C$55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pivot!$A$56:$A$62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pivot!$C$56:$C$62</c:f>
              <c:numCache>
                <c:formatCode>General</c:formatCode>
                <c:ptCount val="7"/>
                <c:pt idx="0">
                  <c:v>38</c:v>
                </c:pt>
                <c:pt idx="1">
                  <c:v>28</c:v>
                </c:pt>
                <c:pt idx="2">
                  <c:v>31</c:v>
                </c:pt>
                <c:pt idx="3">
                  <c:v>10</c:v>
                </c:pt>
                <c:pt idx="4">
                  <c:v>25</c:v>
                </c:pt>
                <c:pt idx="5">
                  <c:v>17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B-4D20-A8A2-2D55D37D6420}"/>
            </c:ext>
          </c:extLst>
        </c:ser>
        <c:ser>
          <c:idx val="2"/>
          <c:order val="2"/>
          <c:tx>
            <c:strRef>
              <c:f>pivot!$D$55</c:f>
              <c:strCache>
                <c:ptCount val="1"/>
                <c:pt idx="0">
                  <c:v>Sum of eco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pivot!$A$56:$A$62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pivot!$D$56:$D$62</c:f>
              <c:numCache>
                <c:formatCode>0.0</c:formatCode>
                <c:ptCount val="7"/>
                <c:pt idx="0">
                  <c:v>12.666666666666666</c:v>
                </c:pt>
                <c:pt idx="1">
                  <c:v>7</c:v>
                </c:pt>
                <c:pt idx="2">
                  <c:v>15.5</c:v>
                </c:pt>
                <c:pt idx="3">
                  <c:v>5</c:v>
                </c:pt>
                <c:pt idx="4">
                  <c:v>6.25</c:v>
                </c:pt>
                <c:pt idx="5">
                  <c:v>17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7B-4D20-A8A2-2D55D37D6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4169248"/>
        <c:axId val="1864170208"/>
        <c:axId val="0"/>
      </c:bar3DChart>
      <c:catAx>
        <c:axId val="186416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70208"/>
        <c:crosses val="autoZero"/>
        <c:auto val="1"/>
        <c:lblAlgn val="ctr"/>
        <c:lblOffset val="100"/>
        <c:noMultiLvlLbl val="0"/>
      </c:catAx>
      <c:valAx>
        <c:axId val="18641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Economy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pivot!$J$59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F9-47B5-84CB-3DAF772D14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F9-47B5-84CB-3DAF772D14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F9-47B5-84CB-3DAF772D14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F9-47B5-84CB-3DAF772D14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F9-47B5-84CB-3DAF772D141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F9-47B5-84CB-3DAF772D141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F9-47B5-84CB-3DAF772D14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pivot!$I$60:$I$66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pivot!$J$60:$J$66</c:f>
              <c:numCache>
                <c:formatCode>0.00%</c:formatCode>
                <c:ptCount val="7"/>
                <c:pt idx="0">
                  <c:v>0.18247298919567828</c:v>
                </c:pt>
                <c:pt idx="1">
                  <c:v>0.1008403361344538</c:v>
                </c:pt>
                <c:pt idx="2">
                  <c:v>0.22328931572629054</c:v>
                </c:pt>
                <c:pt idx="3">
                  <c:v>7.2028811524609854E-2</c:v>
                </c:pt>
                <c:pt idx="4">
                  <c:v>9.0036014405762324E-2</c:v>
                </c:pt>
                <c:pt idx="5">
                  <c:v>0.24489795918367349</c:v>
                </c:pt>
                <c:pt idx="6">
                  <c:v>8.6434573829531819E-2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2-4B59-8833-7B3AD8FF44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pivot!$Q$67</c:f>
              <c:strCache>
                <c:ptCount val="1"/>
                <c:pt idx="0">
                  <c:v>Sum of wickets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pivot!$P$68:$P$74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pivot!$Q$68:$Q$74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D-4E1A-8B5D-30BD3533F88D}"/>
            </c:ext>
          </c:extLst>
        </c:ser>
        <c:ser>
          <c:idx val="1"/>
          <c:order val="1"/>
          <c:tx>
            <c:strRef>
              <c:f>pivot!$R$67</c:f>
              <c:strCache>
                <c:ptCount val="1"/>
                <c:pt idx="0">
                  <c:v>Sum of overs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pivot!$P$68:$P$74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pivot!$R$68:$R$74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D-4E1A-8B5D-30BD3533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547760"/>
        <c:axId val="1608562640"/>
        <c:axId val="2022611280"/>
      </c:area3DChart>
      <c:catAx>
        <c:axId val="160854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62640"/>
        <c:crosses val="autoZero"/>
        <c:auto val="1"/>
        <c:lblAlgn val="ctr"/>
        <c:lblOffset val="100"/>
        <c:noMultiLvlLbl val="0"/>
      </c:catAx>
      <c:valAx>
        <c:axId val="16085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47760"/>
        <c:crosses val="autoZero"/>
        <c:crossBetween val="midCat"/>
      </c:valAx>
      <c:serAx>
        <c:axId val="2022611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626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</a:t>
            </a:r>
            <a:r>
              <a:rPr lang="en-US" baseline="0"/>
              <a:t> </a:t>
            </a:r>
            <a:r>
              <a:rPr lang="en-US"/>
              <a:t>Runs</a:t>
            </a:r>
            <a:r>
              <a:rPr lang="en-US" baseline="0"/>
              <a:t> </a:t>
            </a:r>
            <a:r>
              <a:rPr lang="en-US"/>
              <a:t>percentage</a:t>
            </a:r>
          </a:p>
        </c:rich>
      </c:tx>
      <c:layout>
        <c:manualLayout>
          <c:xMode val="edge"/>
          <c:yMode val="edge"/>
          <c:x val="0.39996522309711285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Sum of 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3A0-4721-A5B9-81C3CC3262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3A0-4721-A5B9-81C3CC3262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3A0-4721-A5B9-81C3CC3262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3A0-4721-A5B9-81C3CC3262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3A0-4721-A5B9-81C3CC3262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3A0-4721-A5B9-81C3CC3262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3A0-4721-A5B9-81C3CC3262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3A0-4721-A5B9-81C3CC3262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5A8-446D-8EB4-FBB8F0F18A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5A8-446D-8EB4-FBB8F0F18A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5A8-446D-8EB4-FBB8F0F18A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pivot!$A$4:$A$14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pivot!$B$4:$B$14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0.44767441860465118</c:v>
                </c:pt>
                <c:pt idx="4">
                  <c:v>6.3953488372093026E-2</c:v>
                </c:pt>
                <c:pt idx="5">
                  <c:v>0.15697674418604651</c:v>
                </c:pt>
                <c:pt idx="6">
                  <c:v>0.18604651162790697</c:v>
                </c:pt>
                <c:pt idx="7">
                  <c:v>0.14534883720930233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3A0-4721-A5B9-81C3CC326250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Sum of strike_rate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13A0-4721-A5B9-81C3CC3262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13A0-4721-A5B9-81C3CC3262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13A0-4721-A5B9-81C3CC3262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13A0-4721-A5B9-81C3CC3262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13A0-4721-A5B9-81C3CC3262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13A0-4721-A5B9-81C3CC32625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13A0-4721-A5B9-81C3CC32625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13A0-4721-A5B9-81C3CC32625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35A8-446D-8EB4-FBB8F0F18AA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35A8-446D-8EB4-FBB8F0F18AA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35A8-446D-8EB4-FBB8F0F18A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pivot!$A$4:$A$14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pivot!$C$4:$C$14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192.5</c:v>
                </c:pt>
                <c:pt idx="4">
                  <c:v>275</c:v>
                </c:pt>
                <c:pt idx="5">
                  <c:v>158.8235294117647</c:v>
                </c:pt>
                <c:pt idx="6">
                  <c:v>110.34482758620689</c:v>
                </c:pt>
                <c:pt idx="7">
                  <c:v>104.16666666666667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3A0-4721-A5B9-81C3CC32625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IndiaBatting</a:t>
            </a:r>
            <a:r>
              <a:rPr lang="en-US" baseline="0"/>
              <a:t> strike rate</a:t>
            </a:r>
            <a:endParaRPr lang="en-US"/>
          </a:p>
        </c:rich>
      </c:tx>
      <c:layout>
        <c:manualLayout>
          <c:xMode val="edge"/>
          <c:yMode val="edge"/>
          <c:x val="0.4563888888888889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pivot!$H$6:$H$16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pivot!$I$6:$I$16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192.5</c:v>
                </c:pt>
                <c:pt idx="4">
                  <c:v>275</c:v>
                </c:pt>
                <c:pt idx="5">
                  <c:v>158.8235294117647</c:v>
                </c:pt>
                <c:pt idx="6">
                  <c:v>110.34482758620689</c:v>
                </c:pt>
                <c:pt idx="7">
                  <c:v>104.16666666666667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4-42B9-BD71-E72D4DAA2E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79207983"/>
        <c:axId val="279211343"/>
        <c:axId val="0"/>
      </c:bar3DChart>
      <c:catAx>
        <c:axId val="279207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Player</a:t>
                </a:r>
              </a:p>
            </c:rich>
          </c:tx>
          <c:layout>
            <c:manualLayout>
              <c:xMode val="edge"/>
              <c:yMode val="edge"/>
              <c:x val="0.45349671916010503"/>
              <c:y val="0.826118037328667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11343"/>
        <c:crosses val="autoZero"/>
        <c:auto val="1"/>
        <c:lblAlgn val="ctr"/>
        <c:lblOffset val="100"/>
        <c:noMultiLvlLbl val="0"/>
      </c:catAx>
      <c:valAx>
        <c:axId val="279211343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20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Boundries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4097769028871394E-2"/>
          <c:y val="0.17042927773563188"/>
          <c:w val="0.62209820647419067"/>
          <c:h val="0.47423723197391021"/>
        </c:manualLayout>
      </c:layout>
      <c:area3DChart>
        <c:grouping val="standard"/>
        <c:varyColors val="0"/>
        <c:ser>
          <c:idx val="0"/>
          <c:order val="0"/>
          <c:tx>
            <c:strRef>
              <c:f>pivot!$D$34</c:f>
              <c:strCache>
                <c:ptCount val="1"/>
                <c:pt idx="0">
                  <c:v>Sum of 6s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pivot!$C$35:$C$45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pivot!$D$35:$D$45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7D-4C05-9B54-CAC5ED3C52E3}"/>
            </c:ext>
          </c:extLst>
        </c:ser>
        <c:ser>
          <c:idx val="1"/>
          <c:order val="1"/>
          <c:tx>
            <c:strRef>
              <c:f>pivot!$E$34</c:f>
              <c:strCache>
                <c:ptCount val="1"/>
                <c:pt idx="0">
                  <c:v>Sum of 4s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pivot!$C$35:$C$45</c:f>
              <c:strCache>
                <c:ptCount val="11"/>
                <c:pt idx="0">
                  <c:v>A patel</c:v>
                </c:pt>
                <c:pt idx="1">
                  <c:v>A sharma</c:v>
                </c:pt>
                <c:pt idx="2">
                  <c:v>H pandya</c:v>
                </c:pt>
                <c:pt idx="3">
                  <c:v>I kishan</c:v>
                </c:pt>
                <c:pt idx="4">
                  <c:v>R singh*</c:v>
                </c:pt>
                <c:pt idx="5">
                  <c:v>S dube</c:v>
                </c:pt>
                <c:pt idx="6">
                  <c:v>S yadav</c:v>
                </c:pt>
                <c:pt idx="7">
                  <c:v>T varma</c:v>
                </c:pt>
                <c:pt idx="8">
                  <c:v>V chakaravarthy</c:v>
                </c:pt>
                <c:pt idx="9">
                  <c:v>K yadav</c:v>
                </c:pt>
                <c:pt idx="10">
                  <c:v>J bumrah</c:v>
                </c:pt>
              </c:strCache>
            </c:strRef>
          </c:cat>
          <c:val>
            <c:numRef>
              <c:f>pivot!$E$35:$E$45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7D-4C05-9B54-CAC5ED3C5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858895"/>
        <c:axId val="931859375"/>
        <c:axId val="478040943"/>
      </c:area3DChart>
      <c:catAx>
        <c:axId val="9318588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Player</a:t>
                </a:r>
              </a:p>
            </c:rich>
          </c:tx>
          <c:layout>
            <c:manualLayout>
              <c:xMode val="edge"/>
              <c:yMode val="edge"/>
              <c:x val="0.3287692475940508"/>
              <c:y val="0.804976848824129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9375"/>
        <c:crosses val="autoZero"/>
        <c:auto val="1"/>
        <c:lblAlgn val="ctr"/>
        <c:lblOffset val="100"/>
        <c:noMultiLvlLbl val="0"/>
      </c:catAx>
      <c:valAx>
        <c:axId val="93185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8895"/>
        <c:crosses val="autoZero"/>
        <c:crossBetween val="midCat"/>
      </c:valAx>
      <c:serAx>
        <c:axId val="4780409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5937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Pak</a:t>
            </a:r>
            <a:r>
              <a:rPr lang="en-US" baseline="0"/>
              <a:t> Runs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pivot!$O$5</c:f>
              <c:strCache>
                <c:ptCount val="1"/>
                <c:pt idx="0">
                  <c:v>Sum of runs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A26-4AD3-86DF-C8107069A7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A26-4AD3-86DF-C8107069A7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A26-4AD3-86DF-C8107069A7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A26-4AD3-86DF-C8107069A7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A26-4AD3-86DF-C8107069A7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A26-4AD3-86DF-C8107069A7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A26-4AD3-86DF-C8107069A7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A26-4AD3-86DF-C8107069A7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A26-4AD3-86DF-C8107069A7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A26-4AD3-86DF-C8107069A7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A26-4AD3-86DF-C8107069A7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pivot!$N$6:$N$16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pivot!$O$6:$O$16</c:f>
              <c:numCache>
                <c:formatCode>0.00%</c:formatCode>
                <c:ptCount val="11"/>
                <c:pt idx="0">
                  <c:v>0</c:v>
                </c:pt>
                <c:pt idx="1">
                  <c:v>4.5454545454545456E-2</c:v>
                </c:pt>
                <c:pt idx="2">
                  <c:v>9.0909090909090912E-2</c:v>
                </c:pt>
                <c:pt idx="3">
                  <c:v>3.6363636363636362E-2</c:v>
                </c:pt>
                <c:pt idx="4">
                  <c:v>0.20909090909090908</c:v>
                </c:pt>
                <c:pt idx="5">
                  <c:v>3.6363636363636362E-2</c:v>
                </c:pt>
                <c:pt idx="6">
                  <c:v>5.4545454545454543E-2</c:v>
                </c:pt>
                <c:pt idx="7">
                  <c:v>0</c:v>
                </c:pt>
                <c:pt idx="8">
                  <c:v>0.12727272727272726</c:v>
                </c:pt>
                <c:pt idx="9">
                  <c:v>0.4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A26-4AD3-86DF-C8107069A715}"/>
            </c:ext>
          </c:extLst>
        </c:ser>
        <c:ser>
          <c:idx val="1"/>
          <c:order val="1"/>
          <c:tx>
            <c:strRef>
              <c:f>pivot!$P$5</c:f>
              <c:strCache>
                <c:ptCount val="1"/>
                <c:pt idx="0">
                  <c:v>Sum of strike_rate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7A26-4AD3-86DF-C8107069A7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7A26-4AD3-86DF-C8107069A7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7A26-4AD3-86DF-C8107069A7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7A26-4AD3-86DF-C8107069A7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7A26-4AD3-86DF-C8107069A7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7A26-4AD3-86DF-C8107069A7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7A26-4AD3-86DF-C8107069A7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7A26-4AD3-86DF-C8107069A7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7A26-4AD3-86DF-C8107069A7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7A26-4AD3-86DF-C8107069A7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C-7A26-4AD3-86DF-C8107069A7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pivot!$N$6:$N$16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pivot!$P$6:$P$16</c:f>
              <c:numCache>
                <c:formatCode>0.0</c:formatCode>
                <c:ptCount val="11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80</c:v>
                </c:pt>
                <c:pt idx="4">
                  <c:v>121.05263157894737</c:v>
                </c:pt>
                <c:pt idx="5">
                  <c:v>100</c:v>
                </c:pt>
                <c:pt idx="6">
                  <c:v>300</c:v>
                </c:pt>
                <c:pt idx="7">
                  <c:v>0</c:v>
                </c:pt>
                <c:pt idx="8">
                  <c:v>93.333333333333329</c:v>
                </c:pt>
                <c:pt idx="9">
                  <c:v>129.41176470588235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A26-4AD3-86DF-C8107069A71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scorecard.xlsx]pivot!PivotTable7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Pak</a:t>
            </a:r>
            <a:r>
              <a:rPr lang="en-US" baseline="0"/>
              <a:t> Batting Strikerate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745189258750064"/>
          <c:y val="0.24303215396228506"/>
          <c:w val="0.8637297652608239"/>
          <c:h val="0.48711992731677772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pivot!$V$6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pivot!$U$7:$U$17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pivot!$V$7:$V$17</c:f>
              <c:numCache>
                <c:formatCode>0.0</c:formatCode>
                <c:ptCount val="11"/>
                <c:pt idx="0">
                  <c:v>0</c:v>
                </c:pt>
                <c:pt idx="1">
                  <c:v>71.428571428571431</c:v>
                </c:pt>
                <c:pt idx="2">
                  <c:v>71.428571428571431</c:v>
                </c:pt>
                <c:pt idx="3">
                  <c:v>80</c:v>
                </c:pt>
                <c:pt idx="4">
                  <c:v>121.05263157894737</c:v>
                </c:pt>
                <c:pt idx="5">
                  <c:v>100</c:v>
                </c:pt>
                <c:pt idx="6">
                  <c:v>300</c:v>
                </c:pt>
                <c:pt idx="7">
                  <c:v>0</c:v>
                </c:pt>
                <c:pt idx="8">
                  <c:v>93.333333333333329</c:v>
                </c:pt>
                <c:pt idx="9">
                  <c:v>129.41176470588235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E-43D2-AC9B-CE524B2D76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31837775"/>
        <c:axId val="931838255"/>
        <c:axId val="110020783"/>
      </c:bar3DChart>
      <c:catAx>
        <c:axId val="931837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38255"/>
        <c:crosses val="autoZero"/>
        <c:auto val="1"/>
        <c:lblAlgn val="ctr"/>
        <c:lblOffset val="100"/>
        <c:noMultiLvlLbl val="0"/>
      </c:catAx>
      <c:valAx>
        <c:axId val="931838255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37775"/>
        <c:crosses val="autoZero"/>
        <c:crossBetween val="between"/>
      </c:valAx>
      <c:serAx>
        <c:axId val="110020783"/>
        <c:scaling>
          <c:orientation val="minMax"/>
        </c:scaling>
        <c:delete val="1"/>
        <c:axPos val="b"/>
        <c:majorTickMark val="out"/>
        <c:minorTickMark val="none"/>
        <c:tickLblPos val="nextTo"/>
        <c:crossAx val="931838255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scorecard.xlsx]pivot!PivotTable8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Boundries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pivot!$AC$10</c:f>
              <c:strCache>
                <c:ptCount val="1"/>
                <c:pt idx="0">
                  <c:v>Sum of 6s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pivot!$AB$11:$AB$21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pivot!$AC$11:$AC$21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1-4A82-A799-DF1DB2F03F41}"/>
            </c:ext>
          </c:extLst>
        </c:ser>
        <c:ser>
          <c:idx val="1"/>
          <c:order val="1"/>
          <c:tx>
            <c:strRef>
              <c:f>pivot!$AD$10</c:f>
              <c:strCache>
                <c:ptCount val="1"/>
                <c:pt idx="0">
                  <c:v>Sum of 4s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pivot!$AB$11:$AB$21</c:f>
              <c:strCache>
                <c:ptCount val="11"/>
                <c:pt idx="0">
                  <c:v>A amhed</c:v>
                </c:pt>
                <c:pt idx="1">
                  <c:v>B azam</c:v>
                </c:pt>
                <c:pt idx="2">
                  <c:v>F ashraf</c:v>
                </c:pt>
                <c:pt idx="3">
                  <c:v>M nawaz</c:v>
                </c:pt>
                <c:pt idx="4">
                  <c:v>S afridi*</c:v>
                </c:pt>
                <c:pt idx="5">
                  <c:v>S agha</c:v>
                </c:pt>
                <c:pt idx="6">
                  <c:v>S ayub</c:v>
                </c:pt>
                <c:pt idx="7">
                  <c:v>S farhan</c:v>
                </c:pt>
                <c:pt idx="8">
                  <c:v>S khan</c:v>
                </c:pt>
                <c:pt idx="9">
                  <c:v>U khan</c:v>
                </c:pt>
                <c:pt idx="10">
                  <c:v>U tariq</c:v>
                </c:pt>
              </c:strCache>
            </c:strRef>
          </c:cat>
          <c:val>
            <c:numRef>
              <c:f>pivot!$AD$11:$AD$21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31-4A82-A799-DF1DB2F0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818575"/>
        <c:axId val="931821455"/>
        <c:axId val="862854895"/>
      </c:area3DChart>
      <c:catAx>
        <c:axId val="93181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21455"/>
        <c:crosses val="autoZero"/>
        <c:auto val="1"/>
        <c:lblAlgn val="ctr"/>
        <c:lblOffset val="100"/>
        <c:noMultiLvlLbl val="0"/>
      </c:catAx>
      <c:valAx>
        <c:axId val="9318214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18575"/>
        <c:crosses val="autoZero"/>
        <c:crossBetween val="midCat"/>
      </c:valAx>
      <c:serAx>
        <c:axId val="86285489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82145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Bowling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pivot!$P$38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pivot!$O$39:$O$45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pivot!$P$39:$P$45</c:f>
              <c:numCache>
                <c:formatCode>General</c:formatCode>
                <c:ptCount val="7"/>
                <c:pt idx="0">
                  <c:v>29</c:v>
                </c:pt>
                <c:pt idx="1">
                  <c:v>16</c:v>
                </c:pt>
                <c:pt idx="2">
                  <c:v>17</c:v>
                </c:pt>
                <c:pt idx="3">
                  <c:v>14</c:v>
                </c:pt>
                <c:pt idx="4">
                  <c:v>9</c:v>
                </c:pt>
                <c:pt idx="5">
                  <c:v>11</c:v>
                </c:pt>
                <c:pt idx="6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A-466B-B93A-C36219A62834}"/>
            </c:ext>
          </c:extLst>
        </c:ser>
        <c:ser>
          <c:idx val="1"/>
          <c:order val="1"/>
          <c:tx>
            <c:strRef>
              <c:f>pivot!$Q$38</c:f>
              <c:strCache>
                <c:ptCount val="1"/>
                <c:pt idx="0">
                  <c:v>Sum of eco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pivot!$O$39:$O$45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pivot!$Q$39:$Q$45</c:f>
              <c:numCache>
                <c:formatCode>0.00</c:formatCode>
                <c:ptCount val="7"/>
                <c:pt idx="0">
                  <c:v>7.25</c:v>
                </c:pt>
                <c:pt idx="1">
                  <c:v>5.333333333333333</c:v>
                </c:pt>
                <c:pt idx="2">
                  <c:v>8.5</c:v>
                </c:pt>
                <c:pt idx="3">
                  <c:v>4.666666666666667</c:v>
                </c:pt>
                <c:pt idx="4">
                  <c:v>9</c:v>
                </c:pt>
                <c:pt idx="5">
                  <c:v>5.5</c:v>
                </c:pt>
                <c:pt idx="6">
                  <c:v>5.666666666666667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A-466B-B93A-C36219A62834}"/>
            </c:ext>
          </c:extLst>
        </c:ser>
        <c:ser>
          <c:idx val="2"/>
          <c:order val="2"/>
          <c:tx>
            <c:strRef>
              <c:f>pivot!$R$38</c:f>
              <c:strCache>
                <c:ptCount val="1"/>
                <c:pt idx="0">
                  <c:v>Sum of overs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pivot!$O$39:$O$45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pivot!$R$39:$R$45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A-466B-B93A-C36219A62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1472464"/>
        <c:axId val="101474384"/>
        <c:axId val="0"/>
      </c:bar3DChart>
      <c:catAx>
        <c:axId val="101472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4384"/>
        <c:crosses val="autoZero"/>
        <c:auto val="1"/>
        <c:lblAlgn val="ctr"/>
        <c:lblOffset val="100"/>
        <c:noMultiLvlLbl val="0"/>
      </c:catAx>
      <c:valAx>
        <c:axId val="101474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7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Economy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5944881889763782E-2"/>
          <c:y val="0.29873209746419493"/>
          <c:w val="0.61323031496062996"/>
          <c:h val="0.60318990637981273"/>
        </c:manualLayout>
      </c:layout>
      <c:pie3DChart>
        <c:varyColors val="1"/>
        <c:ser>
          <c:idx val="0"/>
          <c:order val="0"/>
          <c:tx>
            <c:strRef>
              <c:f>pivot!$W$44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48-489A-96EB-1BB6020614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48-489A-96EB-1BB6020614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48-489A-96EB-1BB6020614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48-489A-96EB-1BB6020614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48-489A-96EB-1BB6020614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148-489A-96EB-1BB6020614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148-489A-96EB-1BB6020614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pivot!$V$45:$V$51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pivot!$W$45:$W$51</c:f>
              <c:numCache>
                <c:formatCode>0.00%</c:formatCode>
                <c:ptCount val="7"/>
                <c:pt idx="0">
                  <c:v>0.15789473684210528</c:v>
                </c:pt>
                <c:pt idx="1">
                  <c:v>0.1161524500907441</c:v>
                </c:pt>
                <c:pt idx="2">
                  <c:v>0.18511796733212343</c:v>
                </c:pt>
                <c:pt idx="3">
                  <c:v>0.10163339382940111</c:v>
                </c:pt>
                <c:pt idx="4">
                  <c:v>0.1960072595281307</c:v>
                </c:pt>
                <c:pt idx="5">
                  <c:v>0.11978221415607986</c:v>
                </c:pt>
                <c:pt idx="6">
                  <c:v>0.12341197822141563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48-489A-96EB-1BB6020614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Wickets</a:t>
            </a:r>
            <a:r>
              <a:rPr lang="en-US" baseline="0"/>
              <a:t> and overs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pivot!$AE$46</c:f>
              <c:strCache>
                <c:ptCount val="1"/>
                <c:pt idx="0">
                  <c:v>Sum of overs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pivot!$AD$47:$AD$53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pivot!$AE$47:$AE$53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2-4191-AE39-3CD969DE4EB9}"/>
            </c:ext>
          </c:extLst>
        </c:ser>
        <c:ser>
          <c:idx val="1"/>
          <c:order val="1"/>
          <c:tx>
            <c:strRef>
              <c:f>pivot!$AF$46</c:f>
              <c:strCache>
                <c:ptCount val="1"/>
                <c:pt idx="0">
                  <c:v>Sum of wickets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pivot!$AD$47:$AD$53</c:f>
              <c:strCache>
                <c:ptCount val="7"/>
                <c:pt idx="0">
                  <c:v>A patel</c:v>
                </c:pt>
                <c:pt idx="1">
                  <c:v>H pandya</c:v>
                </c:pt>
                <c:pt idx="2">
                  <c:v>J bumrah</c:v>
                </c:pt>
                <c:pt idx="3">
                  <c:v>K yadav</c:v>
                </c:pt>
                <c:pt idx="4">
                  <c:v>R singh</c:v>
                </c:pt>
                <c:pt idx="5">
                  <c:v>T varma</c:v>
                </c:pt>
                <c:pt idx="6">
                  <c:v>V chakaravarthy</c:v>
                </c:pt>
              </c:strCache>
            </c:strRef>
          </c:cat>
          <c:val>
            <c:numRef>
              <c:f>pivot!$AF$47:$AF$53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2-4191-AE39-3CD969DE4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765872"/>
        <c:axId val="1970738992"/>
        <c:axId val="0"/>
      </c:area3DChart>
      <c:catAx>
        <c:axId val="197076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38992"/>
        <c:crosses val="autoZero"/>
        <c:auto val="1"/>
        <c:lblAlgn val="ctr"/>
        <c:lblOffset val="100"/>
        <c:noMultiLvlLbl val="0"/>
      </c:catAx>
      <c:valAx>
        <c:axId val="197073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765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bowling</a:t>
            </a:r>
            <a:r>
              <a:rPr lang="en-US" baseline="0"/>
              <a:t> performace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pivot!$B$55</c:f>
              <c:strCache>
                <c:ptCount val="1"/>
                <c:pt idx="0">
                  <c:v>Sum of overs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pivot!$A$56:$A$62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pivot!$B$56:$B$62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8-4164-B146-7CCFD9E2D9BD}"/>
            </c:ext>
          </c:extLst>
        </c:ser>
        <c:ser>
          <c:idx val="1"/>
          <c:order val="1"/>
          <c:tx>
            <c:strRef>
              <c:f>pivot!$C$55</c:f>
              <c:strCache>
                <c:ptCount val="1"/>
                <c:pt idx="0">
                  <c:v>Sum of runs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pivot!$A$56:$A$62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pivot!$C$56:$C$62</c:f>
              <c:numCache>
                <c:formatCode>General</c:formatCode>
                <c:ptCount val="7"/>
                <c:pt idx="0">
                  <c:v>38</c:v>
                </c:pt>
                <c:pt idx="1">
                  <c:v>28</c:v>
                </c:pt>
                <c:pt idx="2">
                  <c:v>31</c:v>
                </c:pt>
                <c:pt idx="3">
                  <c:v>10</c:v>
                </c:pt>
                <c:pt idx="4">
                  <c:v>25</c:v>
                </c:pt>
                <c:pt idx="5">
                  <c:v>17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8-4164-B146-7CCFD9E2D9BD}"/>
            </c:ext>
          </c:extLst>
        </c:ser>
        <c:ser>
          <c:idx val="2"/>
          <c:order val="2"/>
          <c:tx>
            <c:strRef>
              <c:f>pivot!$D$55</c:f>
              <c:strCache>
                <c:ptCount val="1"/>
                <c:pt idx="0">
                  <c:v>Sum of eco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pivot!$A$56:$A$62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pivot!$D$56:$D$62</c:f>
              <c:numCache>
                <c:formatCode>0.0</c:formatCode>
                <c:ptCount val="7"/>
                <c:pt idx="0">
                  <c:v>12.666666666666666</c:v>
                </c:pt>
                <c:pt idx="1">
                  <c:v>7</c:v>
                </c:pt>
                <c:pt idx="2">
                  <c:v>15.5</c:v>
                </c:pt>
                <c:pt idx="3">
                  <c:v>5</c:v>
                </c:pt>
                <c:pt idx="4">
                  <c:v>6.25</c:v>
                </c:pt>
                <c:pt idx="5">
                  <c:v>17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38-4164-B146-7CCFD9E2D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4169248"/>
        <c:axId val="1864170208"/>
        <c:axId val="0"/>
      </c:bar3DChart>
      <c:catAx>
        <c:axId val="18641692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64170208"/>
        <c:crosses val="autoZero"/>
        <c:auto val="1"/>
        <c:lblAlgn val="ctr"/>
        <c:lblOffset val="100"/>
        <c:noMultiLvlLbl val="0"/>
      </c:catAx>
      <c:valAx>
        <c:axId val="18641702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416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Economy</a:t>
            </a:r>
            <a:r>
              <a:rPr lang="en-US" baseline="0"/>
              <a:t> percentage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pivot!$J$59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716-4830-BBFD-C905B92D56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716-4830-BBFD-C905B92D56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716-4830-BBFD-C905B92D56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716-4830-BBFD-C905B92D56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716-4830-BBFD-C905B92D56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716-4830-BBFD-C905B92D56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716-4830-BBFD-C905B92D56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pivot!$I$60:$I$66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pivot!$J$60:$J$66</c:f>
              <c:numCache>
                <c:formatCode>0.00%</c:formatCode>
                <c:ptCount val="7"/>
                <c:pt idx="0">
                  <c:v>0.18247298919567828</c:v>
                </c:pt>
                <c:pt idx="1">
                  <c:v>0.1008403361344538</c:v>
                </c:pt>
                <c:pt idx="2">
                  <c:v>0.22328931572629054</c:v>
                </c:pt>
                <c:pt idx="3">
                  <c:v>7.2028811524609854E-2</c:v>
                </c:pt>
                <c:pt idx="4">
                  <c:v>9.0036014405762324E-2</c:v>
                </c:pt>
                <c:pt idx="5">
                  <c:v>0.24489795918367349</c:v>
                </c:pt>
                <c:pt idx="6">
                  <c:v>8.6434573829531819E-2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716-4830-BBFD-C905B92D56C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 vs pak scorecard.xlsx]pivot!PivotTable12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Wickets and overs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pivot!$Q$67</c:f>
              <c:strCache>
                <c:ptCount val="1"/>
                <c:pt idx="0">
                  <c:v>Sum of wickets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pivot!$P$68:$P$74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pivot!$Q$68:$Q$74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A-4DDF-938A-6E0729EC947B}"/>
            </c:ext>
          </c:extLst>
        </c:ser>
        <c:ser>
          <c:idx val="1"/>
          <c:order val="1"/>
          <c:tx>
            <c:strRef>
              <c:f>pivot!$R$67</c:f>
              <c:strCache>
                <c:ptCount val="1"/>
                <c:pt idx="0">
                  <c:v>Sum of overs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pivot!$P$68:$P$74</c:f>
              <c:strCache>
                <c:ptCount val="7"/>
                <c:pt idx="0">
                  <c:v>A ahmed</c:v>
                </c:pt>
                <c:pt idx="1">
                  <c:v>M nawaz</c:v>
                </c:pt>
                <c:pt idx="2">
                  <c:v>S afridi</c:v>
                </c:pt>
                <c:pt idx="3">
                  <c:v>S agha </c:v>
                </c:pt>
                <c:pt idx="4">
                  <c:v>S ayub</c:v>
                </c:pt>
                <c:pt idx="5">
                  <c:v>S khan</c:v>
                </c:pt>
                <c:pt idx="6">
                  <c:v>U tariq</c:v>
                </c:pt>
              </c:strCache>
            </c:strRef>
          </c:cat>
          <c:val>
            <c:numRef>
              <c:f>pivot!$R$68:$R$74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AA-4DDF-938A-6E0729EC9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547760"/>
        <c:axId val="1608562640"/>
        <c:axId val="2022611280"/>
      </c:area3DChart>
      <c:catAx>
        <c:axId val="160854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62640"/>
        <c:crosses val="autoZero"/>
        <c:auto val="1"/>
        <c:lblAlgn val="ctr"/>
        <c:lblOffset val="100"/>
        <c:noMultiLvlLbl val="0"/>
      </c:catAx>
      <c:valAx>
        <c:axId val="160856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47760"/>
        <c:crosses val="autoZero"/>
        <c:crossBetween val="midCat"/>
      </c:valAx>
      <c:serAx>
        <c:axId val="202261128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62640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7620</xdr:rowOff>
    </xdr:from>
    <xdr:to>
      <xdr:col>3</xdr:col>
      <xdr:colOff>22860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B8125-B01D-641E-60C0-DB3A0A55C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13</xdr:row>
      <xdr:rowOff>41910</xdr:rowOff>
    </xdr:from>
    <xdr:to>
      <xdr:col>8</xdr:col>
      <xdr:colOff>1120140</xdr:colOff>
      <xdr:row>28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2FF220-4F54-FB63-8C73-302B51B9D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586740</xdr:colOff>
      <xdr:row>15</xdr:row>
      <xdr:rowOff>175260</xdr:rowOff>
    </xdr:from>
    <xdr:to>
      <xdr:col>15</xdr:col>
      <xdr:colOff>967740</xdr:colOff>
      <xdr:row>26</xdr:row>
      <xdr:rowOff>148590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D39050-39F9-8646-85C3-885380BC2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754380</xdr:colOff>
      <xdr:row>17</xdr:row>
      <xdr:rowOff>87630</xdr:rowOff>
    </xdr:from>
    <xdr:to>
      <xdr:col>23</xdr:col>
      <xdr:colOff>137160</xdr:colOff>
      <xdr:row>32</xdr:row>
      <xdr:rowOff>87630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D02D7B-3FC4-BDBA-3014-AD1AAED1B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76200</xdr:colOff>
      <xdr:row>23</xdr:row>
      <xdr:rowOff>156210</xdr:rowOff>
    </xdr:from>
    <xdr:to>
      <xdr:col>30</xdr:col>
      <xdr:colOff>83820</xdr:colOff>
      <xdr:row>38</xdr:row>
      <xdr:rowOff>156210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B2A5CD-EDB7-A16E-F0F5-4A77A4F10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533400</xdr:colOff>
      <xdr:row>10</xdr:row>
      <xdr:rowOff>80010</xdr:rowOff>
    </xdr:from>
    <xdr:to>
      <xdr:col>29</xdr:col>
      <xdr:colOff>563880</xdr:colOff>
      <xdr:row>25</xdr:row>
      <xdr:rowOff>80010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C0BDE5-30A5-CABB-4212-99A092A65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190500</xdr:colOff>
      <xdr:row>29</xdr:row>
      <xdr:rowOff>156210</xdr:rowOff>
    </xdr:from>
    <xdr:to>
      <xdr:col>11</xdr:col>
      <xdr:colOff>335280</xdr:colOff>
      <xdr:row>44</xdr:row>
      <xdr:rowOff>156210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8B5F51-D341-8DB7-5D29-E7AEF44A0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297180</xdr:colOff>
      <xdr:row>45</xdr:row>
      <xdr:rowOff>7620</xdr:rowOff>
    </xdr:from>
    <xdr:to>
      <xdr:col>17</xdr:col>
      <xdr:colOff>533400</xdr:colOff>
      <xdr:row>58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A5ED64-5640-2E3C-691E-826D2B5E1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762000</xdr:colOff>
      <xdr:row>52</xdr:row>
      <xdr:rowOff>60960</xdr:rowOff>
    </xdr:from>
    <xdr:to>
      <xdr:col>24</xdr:col>
      <xdr:colOff>220980</xdr:colOff>
      <xdr:row>67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96188AA-2881-47F5-A21C-50BD7E1E0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335280</xdr:colOff>
      <xdr:row>49</xdr:row>
      <xdr:rowOff>19050</xdr:rowOff>
    </xdr:from>
    <xdr:to>
      <xdr:col>31</xdr:col>
      <xdr:colOff>396240</xdr:colOff>
      <xdr:row>64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EB292D7-0E58-027C-75A6-AA643FA82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62</xdr:row>
      <xdr:rowOff>64770</xdr:rowOff>
    </xdr:from>
    <xdr:to>
      <xdr:col>2</xdr:col>
      <xdr:colOff>655320</xdr:colOff>
      <xdr:row>77</xdr:row>
      <xdr:rowOff>64770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034CAFF-09C2-3015-FFD3-FAEEF5414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601980</xdr:colOff>
      <xdr:row>67</xdr:row>
      <xdr:rowOff>57150</xdr:rowOff>
    </xdr:from>
    <xdr:to>
      <xdr:col>10</xdr:col>
      <xdr:colOff>53340</xdr:colOff>
      <xdr:row>82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93AB6A-ED0B-9AAE-9015-C0032E24F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76200</xdr:colOff>
      <xdr:row>59</xdr:row>
      <xdr:rowOff>80010</xdr:rowOff>
    </xdr:from>
    <xdr:to>
      <xdr:col>15</xdr:col>
      <xdr:colOff>480060</xdr:colOff>
      <xdr:row>74</xdr:row>
      <xdr:rowOff>80010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C3319F9-9F08-25B2-34C5-AFED7C6A8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1</xdr:row>
      <xdr:rowOff>91440</xdr:rowOff>
    </xdr:from>
    <xdr:to>
      <xdr:col>15</xdr:col>
      <xdr:colOff>45720</xdr:colOff>
      <xdr:row>4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FC4C8-2B68-E745-872A-854A5BAE82A9}"/>
            </a:ext>
          </a:extLst>
        </xdr:cNvPr>
        <xdr:cNvSpPr txBox="1"/>
      </xdr:nvSpPr>
      <xdr:spPr>
        <a:xfrm>
          <a:off x="4556760" y="274320"/>
          <a:ext cx="4632960" cy="480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500"/>
            <a:t>       India</a:t>
          </a:r>
          <a:r>
            <a:rPr lang="en-US" sz="2500" baseline="0"/>
            <a:t> T20 2026 Dashboard</a:t>
          </a:r>
          <a:endParaRPr lang="en-US" sz="2500"/>
        </a:p>
      </xdr:txBody>
    </xdr:sp>
    <xdr:clientData/>
  </xdr:twoCellAnchor>
  <xdr:twoCellAnchor>
    <xdr:from>
      <xdr:col>0</xdr:col>
      <xdr:colOff>15240</xdr:colOff>
      <xdr:row>7</xdr:row>
      <xdr:rowOff>0</xdr:rowOff>
    </xdr:from>
    <xdr:to>
      <xdr:col>6</xdr:col>
      <xdr:colOff>53340</xdr:colOff>
      <xdr:row>21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221FA-B0B6-4ACC-985F-581637588A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7</xdr:row>
      <xdr:rowOff>7620</xdr:rowOff>
    </xdr:from>
    <xdr:to>
      <xdr:col>13</xdr:col>
      <xdr:colOff>114300</xdr:colOff>
      <xdr:row>21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FCCF7-924F-460B-872E-C0C30CB1B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114300</xdr:colOff>
      <xdr:row>7</xdr:row>
      <xdr:rowOff>7620</xdr:rowOff>
    </xdr:from>
    <xdr:to>
      <xdr:col>21</xdr:col>
      <xdr:colOff>22860</xdr:colOff>
      <xdr:row>21</xdr:row>
      <xdr:rowOff>137160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0F93F6-6765-4731-B959-3F188BF16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533400</xdr:colOff>
      <xdr:row>42</xdr:row>
      <xdr:rowOff>91440</xdr:rowOff>
    </xdr:from>
    <xdr:to>
      <xdr:col>14</xdr:col>
      <xdr:colOff>365760</xdr:colOff>
      <xdr:row>45</xdr:row>
      <xdr:rowOff>7620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BF1A878-7B54-47CB-8735-2AFE9F432F23}"/>
            </a:ext>
          </a:extLst>
        </xdr:cNvPr>
        <xdr:cNvSpPr txBox="1"/>
      </xdr:nvSpPr>
      <xdr:spPr>
        <a:xfrm>
          <a:off x="4800600" y="7772400"/>
          <a:ext cx="4099560" cy="4648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500"/>
            <a:t>PAK </a:t>
          </a:r>
          <a:r>
            <a:rPr lang="en-US" sz="25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T20 2026 Dashboard</a:t>
          </a:r>
          <a:endParaRPr lang="en-US" sz="2500"/>
        </a:p>
      </xdr:txBody>
    </xdr:sp>
    <xdr:clientData/>
  </xdr:twoCellAnchor>
  <xdr:twoCellAnchor>
    <xdr:from>
      <xdr:col>0</xdr:col>
      <xdr:colOff>15240</xdr:colOff>
      <xdr:row>47</xdr:row>
      <xdr:rowOff>7620</xdr:rowOff>
    </xdr:from>
    <xdr:to>
      <xdr:col>6</xdr:col>
      <xdr:colOff>53340</xdr:colOff>
      <xdr:row>62</xdr:row>
      <xdr:rowOff>167640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5E8A3F-2060-4DF8-937E-40595326F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68580</xdr:colOff>
      <xdr:row>47</xdr:row>
      <xdr:rowOff>15240</xdr:rowOff>
    </xdr:from>
    <xdr:to>
      <xdr:col>13</xdr:col>
      <xdr:colOff>121920</xdr:colOff>
      <xdr:row>62</xdr:row>
      <xdr:rowOff>160020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21EE8BB-8100-4EC7-8CF4-50FBD008E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129540</xdr:colOff>
      <xdr:row>47</xdr:row>
      <xdr:rowOff>15240</xdr:rowOff>
    </xdr:from>
    <xdr:to>
      <xdr:col>20</xdr:col>
      <xdr:colOff>419100</xdr:colOff>
      <xdr:row>62</xdr:row>
      <xdr:rowOff>160020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3BCC813-B9A5-4447-BF72-3624BEE36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21</xdr:row>
      <xdr:rowOff>129540</xdr:rowOff>
    </xdr:from>
    <xdr:to>
      <xdr:col>6</xdr:col>
      <xdr:colOff>480060</xdr:colOff>
      <xdr:row>37</xdr:row>
      <xdr:rowOff>144780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274D56B-AE7B-4E25-9176-7547ED9C4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472440</xdr:colOff>
      <xdr:row>21</xdr:row>
      <xdr:rowOff>137160</xdr:rowOff>
    </xdr:from>
    <xdr:to>
      <xdr:col>14</xdr:col>
      <xdr:colOff>167640</xdr:colOff>
      <xdr:row>37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2400F42-D0AD-4FCD-A6A1-2B14CA270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182880</xdr:colOff>
      <xdr:row>21</xdr:row>
      <xdr:rowOff>137160</xdr:rowOff>
    </xdr:from>
    <xdr:to>
      <xdr:col>21</xdr:col>
      <xdr:colOff>38100</xdr:colOff>
      <xdr:row>37</xdr:row>
      <xdr:rowOff>129540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29DBD36-CBFE-40E8-BAF5-FAAFDAA6E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62</xdr:row>
      <xdr:rowOff>144780</xdr:rowOff>
    </xdr:from>
    <xdr:to>
      <xdr:col>7</xdr:col>
      <xdr:colOff>167640</xdr:colOff>
      <xdr:row>79</xdr:row>
      <xdr:rowOff>30480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A223083-821E-4C2D-A083-7E0DAA446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160020</xdr:colOff>
      <xdr:row>62</xdr:row>
      <xdr:rowOff>167640</xdr:rowOff>
    </xdr:from>
    <xdr:to>
      <xdr:col>13</xdr:col>
      <xdr:colOff>449580</xdr:colOff>
      <xdr:row>79</xdr:row>
      <xdr:rowOff>22860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0A4405A-A734-4C2F-9B50-C82DF27E7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434340</xdr:colOff>
      <xdr:row>62</xdr:row>
      <xdr:rowOff>167640</xdr:rowOff>
    </xdr:from>
    <xdr:to>
      <xdr:col>20</xdr:col>
      <xdr:colOff>434340</xdr:colOff>
      <xdr:row>79</xdr:row>
      <xdr:rowOff>22860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E0A3B71-F193-4514-8F0D-7A97B4AD77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0.690246412036" createdVersion="8" refreshedVersion="8" minRefreshableVersion="3" recordCount="7" xr:uid="{39022FB0-0C4B-4BA2-933B-CF12B66613C4}">
  <cacheSource type="worksheet">
    <worksheetSource name="ind_bowling"/>
  </cacheSource>
  <cacheFields count="7">
    <cacheField name="sno" numFmtId="0">
      <sharedItems containsSemiMixedTypes="0" containsString="0" containsNumber="1" containsInteger="1" minValue="1" maxValue="7"/>
    </cacheField>
    <cacheField name="Player_name" numFmtId="0">
      <sharedItems count="7">
        <s v="H pandya"/>
        <s v="J bumrah"/>
        <s v="A patel"/>
        <s v="V chakaravarthy"/>
        <s v="K yadav"/>
        <s v="T varma"/>
        <s v="R singh"/>
      </sharedItems>
    </cacheField>
    <cacheField name="overs" numFmtId="0">
      <sharedItems containsSemiMixedTypes="0" containsString="0" containsNumber="1" containsInteger="1" minValue="1" maxValue="4"/>
    </cacheField>
    <cacheField name="madien" numFmtId="0">
      <sharedItems containsSemiMixedTypes="0" containsString="0" containsNumber="1" containsInteger="1" minValue="0" maxValue="1"/>
    </cacheField>
    <cacheField name="runs" numFmtId="0">
      <sharedItems containsSemiMixedTypes="0" containsString="0" containsNumber="1" containsInteger="1" minValue="9" maxValue="29"/>
    </cacheField>
    <cacheField name="eco" numFmtId="0">
      <sharedItems containsSemiMixedTypes="0" containsString="0" containsNumber="1" minValue="4.666666666666667" maxValue="9"/>
    </cacheField>
    <cacheField name="wickets " numFmtId="0">
      <sharedItems containsSemiMixedTypes="0" containsString="0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0.690247222221" createdVersion="8" refreshedVersion="8" minRefreshableVersion="3" recordCount="11" xr:uid="{8AF172D1-0405-4F09-BFC7-B24D5278F8C5}">
  <cacheSource type="worksheet">
    <worksheetSource name="pak_batting"/>
  </cacheSource>
  <cacheFields count="8">
    <cacheField name="sno" numFmtId="0">
      <sharedItems containsSemiMixedTypes="0" containsString="0" containsNumber="1" containsInteger="1" minValue="1" maxValue="11"/>
    </cacheField>
    <cacheField name="player_name" numFmtId="0">
      <sharedItems count="11">
        <s v="S farhan"/>
        <s v="S ayub"/>
        <s v="S agha"/>
        <s v="B azam"/>
        <s v="U khan"/>
        <s v="S khan"/>
        <s v="M nawaz"/>
        <s v="F ashraf"/>
        <s v="S afridi*"/>
        <s v="A amhed"/>
        <s v="U tariq"/>
      </sharedItems>
    </cacheField>
    <cacheField name="runs" numFmtId="0">
      <sharedItems containsSemiMixedTypes="0" containsString="0" containsNumber="1" containsInteger="1" minValue="0" maxValue="44"/>
    </cacheField>
    <cacheField name="balls_faced" numFmtId="0">
      <sharedItems containsSemiMixedTypes="0" containsString="0" containsNumber="1" containsInteger="1" minValue="1" maxValue="34"/>
    </cacheField>
    <cacheField name="6s" numFmtId="0">
      <sharedItems containsSemiMixedTypes="0" containsString="0" containsNumber="1" containsInteger="1" minValue="0" maxValue="1"/>
    </cacheField>
    <cacheField name="4s" numFmtId="0">
      <sharedItems containsSemiMixedTypes="0" containsString="0" containsNumber="1" containsInteger="1" minValue="0" maxValue="6"/>
    </cacheField>
    <cacheField name="strike_rate" numFmtId="164">
      <sharedItems containsSemiMixedTypes="0" containsString="0" containsNumber="1" minValue="0" maxValue="300"/>
    </cacheField>
    <cacheField name="out/notout" numFmtId="0">
      <sharedItems/>
    </cacheField>
  </cacheFields>
  <extLst>
    <ext xmlns:x14="http://schemas.microsoft.com/office/spreadsheetml/2009/9/main" uri="{725AE2AE-9491-48be-B2B4-4EB974FC3084}">
      <x14:pivotCacheDefinition pivotCacheId="2016473645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0.690247569444" createdVersion="8" refreshedVersion="8" minRefreshableVersion="3" recordCount="11" xr:uid="{A390D5A2-EA41-424A-BBA0-4957B1F32BFE}">
  <cacheSource type="worksheet">
    <worksheetSource name="ind_batting"/>
  </cacheSource>
  <cacheFields count="8">
    <cacheField name="sno" numFmtId="0">
      <sharedItems containsSemiMixedTypes="0" containsString="0" containsNumber="1" containsInteger="1" minValue="1" maxValue="11"/>
    </cacheField>
    <cacheField name="player_name" numFmtId="0">
      <sharedItems count="11">
        <s v="I kishan"/>
        <s v="A sharma"/>
        <s v="T varma"/>
        <s v="S yadav"/>
        <s v="H pandya"/>
        <s v="S dube"/>
        <s v="R singh*"/>
        <s v="A patel"/>
        <s v="V chakaravarthy"/>
        <s v="K yadav"/>
        <s v="J bumrah"/>
      </sharedItems>
    </cacheField>
    <cacheField name="runs" numFmtId="0">
      <sharedItems containsMixedTypes="1" containsNumber="1" containsInteger="1" minValue="0" maxValue="77"/>
    </cacheField>
    <cacheField name="balls_faced" numFmtId="0">
      <sharedItems containsMixedTypes="1" containsNumber="1" containsInteger="1" minValue="1" maxValue="40"/>
    </cacheField>
    <cacheField name="6s" numFmtId="0">
      <sharedItems containsMixedTypes="1" containsNumber="1" containsInteger="1" minValue="0" maxValue="3"/>
    </cacheField>
    <cacheField name="4s" numFmtId="0">
      <sharedItems containsMixedTypes="1" containsNumber="1" containsInteger="1" minValue="0" maxValue="10"/>
    </cacheField>
    <cacheField name="strike_rate" numFmtId="0">
      <sharedItems containsMixedTypes="1" containsNumber="1" minValue="0" maxValue="275"/>
    </cacheField>
    <cacheField name="out/notout" numFmtId="0">
      <sharedItems/>
    </cacheField>
  </cacheFields>
  <extLst>
    <ext xmlns:x14="http://schemas.microsoft.com/office/spreadsheetml/2009/9/main" uri="{725AE2AE-9491-48be-B2B4-4EB974FC3084}">
      <x14:pivotCacheDefinition pivotCacheId="9437097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70.692409027775" createdVersion="8" refreshedVersion="8" minRefreshableVersion="3" recordCount="7" xr:uid="{1EEF9386-5B82-4722-AF03-5B0637170903}">
  <cacheSource type="worksheet">
    <worksheetSource name="pak_bowling"/>
  </cacheSource>
  <cacheFields count="7">
    <cacheField name="sno" numFmtId="0">
      <sharedItems containsSemiMixedTypes="0" containsString="0" containsNumber="1" containsInteger="1" minValue="1" maxValue="7"/>
    </cacheField>
    <cacheField name="Player_name" numFmtId="0">
      <sharedItems count="7">
        <s v="S agha "/>
        <s v="S afridi"/>
        <s v="S ayub"/>
        <s v="A ahmed"/>
        <s v="S khan"/>
        <s v="M nawaz"/>
        <s v="U tariq"/>
      </sharedItems>
    </cacheField>
    <cacheField name="overs" numFmtId="0">
      <sharedItems containsSemiMixedTypes="0" containsString="0" containsNumber="1" containsInteger="1" minValue="1" maxValue="4"/>
    </cacheField>
    <cacheField name="madien" numFmtId="0">
      <sharedItems containsSemiMixedTypes="0" containsString="0" containsNumber="1" containsInteger="1" minValue="0" maxValue="0"/>
    </cacheField>
    <cacheField name="runs" numFmtId="0">
      <sharedItems containsSemiMixedTypes="0" containsString="0" containsNumber="1" containsInteger="1" minValue="10" maxValue="38"/>
    </cacheField>
    <cacheField name="eco" numFmtId="0">
      <sharedItems containsSemiMixedTypes="0" containsString="0" containsNumber="1" minValue="5" maxValue="17"/>
    </cacheField>
    <cacheField name="wickets 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3"/>
    <n v="1"/>
    <n v="16"/>
    <n v="5.333333333333333"/>
    <n v="2"/>
  </r>
  <r>
    <n v="2"/>
    <x v="1"/>
    <n v="2"/>
    <n v="0"/>
    <n v="17"/>
    <n v="8.5"/>
    <n v="2"/>
  </r>
  <r>
    <n v="3"/>
    <x v="2"/>
    <n v="4"/>
    <n v="0"/>
    <n v="29"/>
    <n v="7.25"/>
    <n v="2"/>
  </r>
  <r>
    <n v="4"/>
    <x v="3"/>
    <n v="3"/>
    <n v="0"/>
    <n v="17"/>
    <n v="5.666666666666667"/>
    <n v="2"/>
  </r>
  <r>
    <n v="5"/>
    <x v="4"/>
    <n v="3"/>
    <n v="0"/>
    <n v="14"/>
    <n v="4.666666666666667"/>
    <n v="1"/>
  </r>
  <r>
    <n v="6"/>
    <x v="5"/>
    <n v="2"/>
    <n v="0"/>
    <n v="11"/>
    <n v="5.5"/>
    <n v="1"/>
  </r>
  <r>
    <n v="7"/>
    <x v="6"/>
    <n v="1"/>
    <n v="0"/>
    <n v="9"/>
    <n v="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n v="0"/>
    <n v="4"/>
    <n v="0"/>
    <n v="0"/>
    <n v="0"/>
    <s v="Out"/>
  </r>
  <r>
    <n v="2"/>
    <x v="1"/>
    <n v="6"/>
    <n v="2"/>
    <n v="0"/>
    <n v="1"/>
    <n v="300"/>
    <s v="Out"/>
  </r>
  <r>
    <n v="3"/>
    <x v="2"/>
    <n v="4"/>
    <n v="4"/>
    <n v="1"/>
    <n v="0"/>
    <n v="100"/>
    <s v="Out"/>
  </r>
  <r>
    <n v="4"/>
    <x v="3"/>
    <n v="5"/>
    <n v="7"/>
    <n v="0"/>
    <n v="0"/>
    <n v="71.428571428571431"/>
    <s v="Out"/>
  </r>
  <r>
    <n v="5"/>
    <x v="4"/>
    <n v="44"/>
    <n v="34"/>
    <n v="1"/>
    <n v="6"/>
    <n v="129.41176470588235"/>
    <s v="Out"/>
  </r>
  <r>
    <n v="6"/>
    <x v="5"/>
    <n v="14"/>
    <n v="15"/>
    <n v="0"/>
    <n v="1"/>
    <n v="93.333333333333329"/>
    <s v="Out"/>
  </r>
  <r>
    <n v="7"/>
    <x v="6"/>
    <n v="4"/>
    <n v="5"/>
    <n v="0"/>
    <n v="1"/>
    <n v="80"/>
    <s v="Out"/>
  </r>
  <r>
    <n v="8"/>
    <x v="7"/>
    <n v="10"/>
    <n v="14"/>
    <n v="0"/>
    <n v="1"/>
    <n v="71.428571428571431"/>
    <s v="Out"/>
  </r>
  <r>
    <n v="9"/>
    <x v="8"/>
    <n v="23"/>
    <n v="19"/>
    <n v="1"/>
    <n v="2"/>
    <n v="121.05263157894737"/>
    <s v="Notout"/>
  </r>
  <r>
    <n v="10"/>
    <x v="9"/>
    <n v="0"/>
    <n v="1"/>
    <n v="0"/>
    <n v="0"/>
    <n v="0"/>
    <s v="Out"/>
  </r>
  <r>
    <n v="11"/>
    <x v="10"/>
    <n v="0"/>
    <n v="3"/>
    <n v="0"/>
    <n v="0"/>
    <n v="0"/>
    <s v="Ou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x v="0"/>
    <n v="77"/>
    <n v="40"/>
    <n v="3"/>
    <n v="10"/>
    <n v="192.5"/>
    <s v="Out"/>
  </r>
  <r>
    <n v="2"/>
    <x v="1"/>
    <n v="0"/>
    <n v="4"/>
    <n v="0"/>
    <n v="0"/>
    <n v="0"/>
    <s v="Out"/>
  </r>
  <r>
    <n v="3"/>
    <x v="2"/>
    <n v="25"/>
    <n v="24"/>
    <n v="1"/>
    <n v="2"/>
    <n v="104.16666666666667"/>
    <s v="Out"/>
  </r>
  <r>
    <n v="4"/>
    <x v="3"/>
    <n v="32"/>
    <n v="29"/>
    <n v="0"/>
    <n v="3"/>
    <n v="110.34482758620689"/>
    <s v="Out"/>
  </r>
  <r>
    <n v="5"/>
    <x v="4"/>
    <n v="0"/>
    <n v="1"/>
    <n v="0"/>
    <n v="0"/>
    <n v="0"/>
    <s v="Out"/>
  </r>
  <r>
    <n v="6"/>
    <x v="5"/>
    <n v="27"/>
    <n v="17"/>
    <n v="1"/>
    <n v="3"/>
    <n v="158.8235294117647"/>
    <s v="Out"/>
  </r>
  <r>
    <n v="7"/>
    <x v="6"/>
    <n v="11"/>
    <n v="4"/>
    <n v="1"/>
    <n v="1"/>
    <n v="275"/>
    <s v="Notout"/>
  </r>
  <r>
    <n v="8"/>
    <x v="7"/>
    <n v="0"/>
    <n v="1"/>
    <n v="0"/>
    <n v="0"/>
    <n v="0"/>
    <s v="Out"/>
  </r>
  <r>
    <n v="9"/>
    <x v="8"/>
    <s v="-"/>
    <s v="-"/>
    <s v="-"/>
    <s v="-"/>
    <s v="-"/>
    <s v="Notbatted"/>
  </r>
  <r>
    <n v="10"/>
    <x v="9"/>
    <s v="-"/>
    <s v="-"/>
    <s v="-"/>
    <s v="-"/>
    <s v="-"/>
    <s v="Notbatted"/>
  </r>
  <r>
    <n v="11"/>
    <x v="10"/>
    <s v="-"/>
    <s v="-"/>
    <s v="-"/>
    <s v="-"/>
    <s v="-"/>
    <s v="Notbatt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n v="2"/>
    <n v="0"/>
    <n v="10"/>
    <n v="5"/>
    <n v="1"/>
  </r>
  <r>
    <n v="2"/>
    <x v="1"/>
    <n v="2"/>
    <n v="0"/>
    <n v="31"/>
    <n v="15.5"/>
    <n v="1"/>
  </r>
  <r>
    <n v="3"/>
    <x v="2"/>
    <n v="4"/>
    <n v="0"/>
    <n v="25"/>
    <n v="6.25"/>
    <n v="3"/>
  </r>
  <r>
    <n v="4"/>
    <x v="3"/>
    <n v="3"/>
    <n v="0"/>
    <n v="38"/>
    <n v="12.666666666666666"/>
    <n v="0"/>
  </r>
  <r>
    <n v="5"/>
    <x v="4"/>
    <n v="1"/>
    <n v="0"/>
    <n v="17"/>
    <n v="17"/>
    <n v="0"/>
  </r>
  <r>
    <n v="6"/>
    <x v="5"/>
    <n v="4"/>
    <n v="0"/>
    <n v="28"/>
    <n v="7"/>
    <n v="0"/>
  </r>
  <r>
    <n v="7"/>
    <x v="6"/>
    <n v="4"/>
    <n v="0"/>
    <n v="24"/>
    <n v="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429C6-BE1E-47B2-94FB-8D38FEFF7302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N5:P16" firstHeaderRow="0" firstDataRow="1" firstDataCol="1"/>
  <pivotFields count="8">
    <pivotField showAll="0"/>
    <pivotField axis="axisRow" showAll="0">
      <items count="12">
        <item x="9"/>
        <item x="3"/>
        <item x="7"/>
        <item x="6"/>
        <item x="8"/>
        <item x="2"/>
        <item x="1"/>
        <item x="0"/>
        <item x="5"/>
        <item x="4"/>
        <item x="10"/>
        <item t="default"/>
      </items>
    </pivotField>
    <pivotField dataField="1" showAll="0"/>
    <pivotField showAll="0"/>
    <pivotField showAll="0"/>
    <pivotField showAll="0"/>
    <pivotField dataField="1" numFmtId="16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2">
    <i>
      <x/>
    </i>
    <i i="1">
      <x v="1"/>
    </i>
  </colItems>
  <dataFields count="2">
    <dataField name="Sum of runs" fld="2" showDataAs="percentOfTotal" baseField="1" baseItem="10" numFmtId="10"/>
    <dataField name="Sum of strike_rate" fld="6" baseField="0" baseItem="0" numFmtId="164"/>
  </dataFields>
  <chartFormats count="4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14" format="7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79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80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8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4" format="8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4" format="83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4" format="84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4" format="8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4" format="8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14" format="88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14" format="89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14" format="90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14" format="91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14" format="92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14" format="93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14" format="94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14" format="95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14" format="96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14" format="97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992D-D45D-4741-8AAF-1F68F0413BF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V44:W51" firstHeaderRow="1" firstDataRow="1" firstDataCol="1"/>
  <pivotFields count="7">
    <pivotField showAll="0"/>
    <pivotField axis="axisRow" showAll="0">
      <items count="8">
        <item x="2"/>
        <item x="0"/>
        <item x="1"/>
        <item x="4"/>
        <item x="6"/>
        <item x="5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eco" fld="5" showDataAs="percentOfTotal" baseField="1" baseItem="0" numFmtId="10"/>
  </dataFields>
  <chartFormats count="16"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D3201-1CCB-4A45-A4C8-A872AA83FDA8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H5:I16" firstHeaderRow="1" firstDataRow="1" firstDataCol="1"/>
  <pivotFields count="8">
    <pivotField showAll="0"/>
    <pivotField axis="axisRow" showAll="0">
      <items count="12">
        <item x="7"/>
        <item x="1"/>
        <item x="4"/>
        <item x="0"/>
        <item x="6"/>
        <item x="5"/>
        <item x="3"/>
        <item x="2"/>
        <item x="8"/>
        <item x="9"/>
        <item x="10"/>
        <item t="default"/>
      </items>
    </pivotField>
    <pivotField showAll="0"/>
    <pivotField showAll="0"/>
    <pivotField showAll="0"/>
    <pivotField showAll="0"/>
    <pivotField dataField="1" numFmtId="16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strike_rate" fld="6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71280-C96D-4317-AC26-79490C7E204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4">
  <location ref="O38:R45" firstHeaderRow="0" firstDataRow="1" firstDataCol="1"/>
  <pivotFields count="7">
    <pivotField showAll="0"/>
    <pivotField axis="axisRow" showAll="0">
      <items count="8">
        <item x="2"/>
        <item x="0"/>
        <item x="1"/>
        <item x="4"/>
        <item x="6"/>
        <item x="5"/>
        <item x="3"/>
        <item t="default"/>
      </items>
    </pivotField>
    <pivotField dataField="1"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uns" fld="4" baseField="0" baseItem="0"/>
    <dataField name="Sum of eco" fld="5" baseField="0" baseItem="0"/>
    <dataField name="Sum of overs" fld="2" baseField="0" baseItem="0"/>
  </dataFields>
  <formats count="1">
    <format dxfId="1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</formats>
  <chartFormats count="6"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511E3-6A7E-4F36-ACC9-613023F89BFC}" name="PivotTable1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5">
  <location ref="P67:R74" firstHeaderRow="0" firstDataRow="1" firstDataCol="1"/>
  <pivotFields count="7">
    <pivotField showAll="0"/>
    <pivotField axis="axisRow" showAll="0">
      <items count="8">
        <item x="3"/>
        <item x="5"/>
        <item x="1"/>
        <item x="0"/>
        <item x="2"/>
        <item x="4"/>
        <item x="6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um of wickets " fld="6" baseField="0" baseItem="0"/>
    <dataField name="Sum of overs" fld="2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08728-2106-4BCA-9303-11A04BB53064}" name="PivotTable1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I59:J66" firstHeaderRow="1" firstDataRow="1" firstDataCol="1"/>
  <pivotFields count="7">
    <pivotField showAll="0"/>
    <pivotField axis="axisRow" showAll="0">
      <items count="8">
        <item x="3"/>
        <item x="5"/>
        <item x="1"/>
        <item x="0"/>
        <item x="2"/>
        <item x="4"/>
        <item x="6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eco" fld="5" showDataAs="percentOfTotal" baseField="1" baseItem="0" numFmtId="10"/>
  </dataFields>
  <chartFormats count="1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0F250-913A-474B-BB12-683317CCA7A1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>
  <location ref="A3:C14" firstHeaderRow="0" firstDataRow="1" firstDataCol="1"/>
  <pivotFields count="8">
    <pivotField showAll="0"/>
    <pivotField axis="axisRow" showAll="0">
      <items count="12">
        <item x="7"/>
        <item x="1"/>
        <item x="4"/>
        <item x="0"/>
        <item x="6"/>
        <item x="5"/>
        <item x="3"/>
        <item x="2"/>
        <item x="8"/>
        <item x="9"/>
        <item x="10"/>
        <item t="default"/>
      </items>
    </pivotField>
    <pivotField dataField="1" showAll="0"/>
    <pivotField showAll="0"/>
    <pivotField showAll="0"/>
    <pivotField showAll="0"/>
    <pivotField dataField="1" numFmtId="16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2">
    <i>
      <x/>
    </i>
    <i i="1">
      <x v="1"/>
    </i>
  </colItems>
  <dataFields count="2">
    <dataField name="Sum of runs" fld="2" showDataAs="percentOfTotal" baseField="1" baseItem="0" numFmtId="165"/>
    <dataField name="Sum of strike_rate" fld="6" baseField="0" baseItem="0" numFmtId="164"/>
  </dataFields>
  <formats count="1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7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7" format="34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7" format="35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7" format="36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7" format="37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4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7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  <chartFormat chart="7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40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8"/>
          </reference>
        </references>
      </pivotArea>
    </chartFormat>
    <chartFormat chart="7" format="42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7" format="43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07A598-A354-49C7-8840-45E2FFBDD960}" name="PivotTable9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>
  <location ref="C34:E45" firstHeaderRow="0" firstDataRow="1" firstDataCol="1"/>
  <pivotFields count="8">
    <pivotField showAll="0"/>
    <pivotField axis="axisRow" showAll="0">
      <items count="12">
        <item x="7"/>
        <item x="1"/>
        <item x="4"/>
        <item x="0"/>
        <item x="6"/>
        <item x="5"/>
        <item x="3"/>
        <item x="2"/>
        <item x="8"/>
        <item x="9"/>
        <item x="10"/>
        <item t="default"/>
      </items>
    </pivotField>
    <pivotField showAll="0"/>
    <pivotField showAll="0"/>
    <pivotField dataField="1" showAll="0"/>
    <pivotField dataField="1" showAll="0"/>
    <pivotField numFmtId="16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2">
    <i>
      <x/>
    </i>
    <i i="1">
      <x v="1"/>
    </i>
  </colItems>
  <dataFields count="2">
    <dataField name="Sum of 6s" fld="4" baseField="0" baseItem="0"/>
    <dataField name="Sum of 4s" fld="5" baseField="0" baseItem="0"/>
  </dataField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AB210-F731-478D-80E4-57D9D1D79494}" name="PivotTable10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55:D62" firstHeaderRow="0" firstDataRow="1" firstDataCol="1"/>
  <pivotFields count="7">
    <pivotField showAll="0"/>
    <pivotField axis="axisRow" showAll="0">
      <items count="8">
        <item x="3"/>
        <item x="5"/>
        <item x="1"/>
        <item x="0"/>
        <item x="2"/>
        <item x="4"/>
        <item x="6"/>
        <item t="default"/>
      </items>
    </pivotField>
    <pivotField dataField="1" showAll="0"/>
    <pivotField showAll="0"/>
    <pivotField dataField="1" showAll="0"/>
    <pivotField dataField="1"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vers" fld="2" baseField="0" baseItem="0"/>
    <dataField name="Sum of runs" fld="4" baseField="0" baseItem="0"/>
    <dataField name="Sum of eco" fld="5" baseField="0" baseItem="0"/>
  </dataFields>
  <formats count="1">
    <format dxfId="15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</format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7713D-40B5-4E79-874E-3BE944CB6A53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9">
  <location ref="AB10:AD21" firstHeaderRow="0" firstDataRow="1" firstDataCol="1"/>
  <pivotFields count="8">
    <pivotField showAll="0"/>
    <pivotField axis="axisRow" showAll="0">
      <items count="12">
        <item x="9"/>
        <item x="3"/>
        <item x="7"/>
        <item x="6"/>
        <item x="8"/>
        <item x="2"/>
        <item x="1"/>
        <item x="0"/>
        <item x="5"/>
        <item x="4"/>
        <item x="10"/>
        <item t="default"/>
      </items>
    </pivotField>
    <pivotField showAll="0"/>
    <pivotField showAll="0"/>
    <pivotField dataField="1" showAll="0"/>
    <pivotField dataField="1" showAll="0"/>
    <pivotField numFmtId="16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Fields count="1">
    <field x="-2"/>
  </colFields>
  <colItems count="2">
    <i>
      <x/>
    </i>
    <i i="1">
      <x v="1"/>
    </i>
  </colItems>
  <dataFields count="2">
    <dataField name="Sum of 6s" fld="4" baseField="0" baseItem="0"/>
    <dataField name="Sum of 4s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990ED-D0B1-4D01-8888-F138DD013EAD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7">
  <location ref="U6:V17" firstHeaderRow="1" firstDataRow="1" firstDataCol="1"/>
  <pivotFields count="8">
    <pivotField showAll="0"/>
    <pivotField axis="axisRow" showAll="0">
      <items count="12">
        <item x="9"/>
        <item x="3"/>
        <item x="7"/>
        <item x="6"/>
        <item x="8"/>
        <item x="2"/>
        <item x="1"/>
        <item x="0"/>
        <item x="5"/>
        <item x="4"/>
        <item x="10"/>
        <item t="default"/>
      </items>
    </pivotField>
    <pivotField showAll="0"/>
    <pivotField showAll="0"/>
    <pivotField showAll="0"/>
    <pivotField showAll="0"/>
    <pivotField dataField="1" numFmtId="164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strike_rate" fld="6" baseField="0" baseItem="0" numFmtId="164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01989-83CC-4B6F-ADA6-CF0AA6ED889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1">
  <location ref="AD46:AF53" firstHeaderRow="0" firstDataRow="1" firstDataCol="1"/>
  <pivotFields count="7">
    <pivotField showAll="0"/>
    <pivotField axis="axisRow" showAll="0">
      <items count="8">
        <item x="2"/>
        <item x="0"/>
        <item x="1"/>
        <item x="4"/>
        <item x="6"/>
        <item x="5"/>
        <item x="3"/>
        <item t="default"/>
      </items>
    </pivotField>
    <pivotField dataField="1"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Sum of overs" fld="2" baseField="0" baseItem="0"/>
    <dataField name="Sum of wickets " fld="6" baseField="0" baseItem="0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A4098B-38F9-490E-B198-EA39C2093EA6}" name="ind_batting" displayName="ind_batting" ref="A2:H14" totalsRowCount="1" headerRowDxfId="12">
  <autoFilter ref="A2:H13" xr:uid="{8FA4098B-38F9-490E-B198-EA39C2093EA6}"/>
  <tableColumns count="8">
    <tableColumn id="1" xr3:uid="{4EABEA56-7C05-448A-98D2-113345257677}" name="sno" dataDxfId="11"/>
    <tableColumn id="2" xr3:uid="{05A6942B-7A75-4507-9329-76F9F2DC78E3}" name="player_name" dataDxfId="10"/>
    <tableColumn id="3" xr3:uid="{07EE2061-9F95-4374-8D7D-4EDBE94C2FD6}" name="runs" dataDxfId="9"/>
    <tableColumn id="4" xr3:uid="{12549C56-FC0C-41C4-80F4-D6EA804F015E}" name="balls_faced" dataDxfId="8"/>
    <tableColumn id="5" xr3:uid="{6D912ED6-6C6E-4510-B45D-261D41469F23}" name="6s" dataDxfId="7"/>
    <tableColumn id="6" xr3:uid="{5A9C07FB-1D59-44F8-8094-C2DF1EAC4035}" name="4s" dataDxfId="6"/>
    <tableColumn id="7" xr3:uid="{5A681D79-A27B-4D8A-9713-8C8F61B8883C}" name="strike_rate" dataDxfId="5">
      <calculatedColumnFormula>(C3/D3)*100</calculatedColumnFormula>
    </tableColumn>
    <tableColumn id="8" xr3:uid="{0849D6C7-9DF8-4626-8469-69D609EFC8E4}" name="out/notout" dataDxfId="4">
      <calculatedColumnFormula>_xlfn.IFS(RIGHT(B3,1)="*","Notout",TRUE,"Out")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F7CA2-FF98-43BD-8ADC-EB4540E1F12C}" name="pak_batting" displayName="pak_batting" ref="M2:T13" totalsRowShown="0">
  <autoFilter ref="M2:T13" xr:uid="{DFBF7CA2-FF98-43BD-8ADC-EB4540E1F12C}"/>
  <tableColumns count="8">
    <tableColumn id="1" xr3:uid="{4D120826-7707-436F-A842-D4BD2233A1BA}" name="sno"/>
    <tableColumn id="2" xr3:uid="{639D8257-2E00-4B88-8C50-6E0893B17C9F}" name="player_name"/>
    <tableColumn id="3" xr3:uid="{C9CCCAC3-FFED-43A7-B6B3-8B42A7175903}" name="runs"/>
    <tableColumn id="4" xr3:uid="{35467D56-CF74-49A6-9A62-9E7C126AC76C}" name="balls_faced"/>
    <tableColumn id="5" xr3:uid="{8C1DB20F-4BCC-48A2-B19C-EC86EA6E3B33}" name="6s"/>
    <tableColumn id="6" xr3:uid="{129C53B1-561C-4B96-B002-3D8370168937}" name="4s"/>
    <tableColumn id="7" xr3:uid="{F1E4F111-0C33-49FA-A153-C07270E839F9}" name="strike_rate" dataDxfId="3">
      <calculatedColumnFormula>(O3/P3)*100</calculatedColumnFormula>
    </tableColumn>
    <tableColumn id="8" xr3:uid="{2A692111-2007-4CE8-9307-46EA98246486}" name="out/notout">
      <calculatedColumnFormula>_xlfn.IFS(RIGHT(N3,1)="*","Notout",TRUE,"Out")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66DB0F-01AE-4DC7-B12C-0D7EB83EC38D}" name="pak_bowling" displayName="pak_bowling" ref="M19:S26" totalsRowShown="0">
  <autoFilter ref="M19:S26" xr:uid="{CC66DB0F-01AE-4DC7-B12C-0D7EB83EC38D}"/>
  <tableColumns count="7">
    <tableColumn id="1" xr3:uid="{F51D7839-283B-425F-9CDA-D1381D77088D}" name="sno"/>
    <tableColumn id="2" xr3:uid="{66E7142C-F45D-460B-A084-8513370E7C54}" name="Player_name"/>
    <tableColumn id="3" xr3:uid="{8609F80D-9216-4CCF-AE13-0560DAE192CF}" name="overs"/>
    <tableColumn id="4" xr3:uid="{ED3795D5-3B06-4472-B8E5-A8B3CC9B3407}" name="madien"/>
    <tableColumn id="5" xr3:uid="{08640A97-B39D-47BD-B9AF-4B3060CEB56A}" name="runs"/>
    <tableColumn id="6" xr3:uid="{6886785E-D914-4CD1-99EE-A591D008D501}" name="eco">
      <calculatedColumnFormula>Q20/O20</calculatedColumnFormula>
    </tableColumn>
    <tableColumn id="7" xr3:uid="{13CC5013-FE73-4997-9DE0-CB049D821CE5}" name="wickets 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9873F-62D6-4ADB-A0C5-7514180F235D}" name="ind_bowling" displayName="ind_bowling" ref="A22:G29" totalsRowShown="0">
  <autoFilter ref="A22:G29" xr:uid="{20D9873F-62D6-4ADB-A0C5-7514180F235D}"/>
  <tableColumns count="7">
    <tableColumn id="1" xr3:uid="{3AAFE31F-CA24-4130-80A0-38806E80911F}" name="sno"/>
    <tableColumn id="2" xr3:uid="{0B01EEAC-3DDE-4D77-8B6F-FD8BC507789C}" name="Player_name"/>
    <tableColumn id="3" xr3:uid="{938E3A2F-9CB8-4B59-9A07-440F70031DD6}" name="overs"/>
    <tableColumn id="4" xr3:uid="{8A7DAC41-A737-43B2-B970-F62850A987E4}" name="madien"/>
    <tableColumn id="5" xr3:uid="{AAC8B898-1DC6-42FC-A921-D293FF74B672}" name="runs"/>
    <tableColumn id="6" xr3:uid="{6E4F3B68-94B0-4247-B618-1EF65CEF9B26}" name="eco">
      <calculatedColumnFormula>(E23/C23)</calculatedColumnFormula>
    </tableColumn>
    <tableColumn id="7" xr3:uid="{8D30A44A-D532-4F2A-A563-7CE110E9D4AB}" name="wicket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F185-35F3-4F3F-9594-DF8A6C81EF35}">
  <dimension ref="A3:AF74"/>
  <sheetViews>
    <sheetView topLeftCell="E58" workbookViewId="0">
      <selection activeCell="Q70" sqref="Q70"/>
    </sheetView>
  </sheetViews>
  <sheetFormatPr defaultRowHeight="14.4" x14ac:dyDescent="0.3"/>
  <cols>
    <col min="1" max="1" width="14.21875" bestFit="1" customWidth="1"/>
    <col min="2" max="2" width="11.109375" bestFit="1" customWidth="1"/>
    <col min="3" max="3" width="16.44140625" bestFit="1" customWidth="1"/>
    <col min="4" max="5" width="9.21875" bestFit="1" customWidth="1"/>
    <col min="8" max="8" width="14.21875" bestFit="1" customWidth="1"/>
    <col min="9" max="9" width="16.44140625" bestFit="1" customWidth="1"/>
    <col min="10" max="10" width="10.44140625" bestFit="1" customWidth="1"/>
    <col min="14" max="14" width="12.5546875" bestFit="1" customWidth="1"/>
    <col min="15" max="15" width="11.109375" bestFit="1" customWidth="1"/>
    <col min="16" max="16" width="16.44140625" bestFit="1" customWidth="1"/>
    <col min="17" max="17" width="14.21875" bestFit="1" customWidth="1"/>
    <col min="18" max="18" width="12" bestFit="1" customWidth="1"/>
    <col min="19" max="19" width="14.21875" bestFit="1" customWidth="1"/>
    <col min="21" max="21" width="12.5546875" bestFit="1" customWidth="1"/>
    <col min="22" max="22" width="16.44140625" bestFit="1" customWidth="1"/>
    <col min="23" max="23" width="10.44140625" bestFit="1" customWidth="1"/>
    <col min="24" max="24" width="14.21875" bestFit="1" customWidth="1"/>
    <col min="28" max="28" width="12.5546875" bestFit="1" customWidth="1"/>
    <col min="29" max="30" width="9.21875" bestFit="1" customWidth="1"/>
    <col min="31" max="31" width="12" bestFit="1" customWidth="1"/>
    <col min="32" max="32" width="14.21875" bestFit="1" customWidth="1"/>
  </cols>
  <sheetData>
    <row r="3" spans="1:30" x14ac:dyDescent="0.3">
      <c r="A3" s="6" t="s">
        <v>32</v>
      </c>
      <c r="B3" t="s">
        <v>33</v>
      </c>
      <c r="C3" t="s">
        <v>35</v>
      </c>
    </row>
    <row r="4" spans="1:30" x14ac:dyDescent="0.3">
      <c r="A4" s="7" t="s">
        <v>12</v>
      </c>
      <c r="B4" s="9">
        <v>0</v>
      </c>
      <c r="C4" s="1">
        <v>0</v>
      </c>
    </row>
    <row r="5" spans="1:30" x14ac:dyDescent="0.3">
      <c r="A5" s="7" t="s">
        <v>7</v>
      </c>
      <c r="B5" s="9">
        <v>0</v>
      </c>
      <c r="C5" s="1">
        <v>0</v>
      </c>
      <c r="H5" s="6" t="s">
        <v>32</v>
      </c>
      <c r="I5" t="s">
        <v>35</v>
      </c>
      <c r="N5" s="6" t="s">
        <v>32</v>
      </c>
      <c r="O5" t="s">
        <v>33</v>
      </c>
      <c r="P5" t="s">
        <v>35</v>
      </c>
    </row>
    <row r="6" spans="1:30" x14ac:dyDescent="0.3">
      <c r="A6" s="7" t="s">
        <v>10</v>
      </c>
      <c r="B6" s="9">
        <v>0</v>
      </c>
      <c r="C6" s="1">
        <v>0</v>
      </c>
      <c r="H6" s="7" t="s">
        <v>12</v>
      </c>
      <c r="I6" s="1">
        <v>0</v>
      </c>
      <c r="N6" s="7" t="s">
        <v>27</v>
      </c>
      <c r="O6" s="8">
        <v>0</v>
      </c>
      <c r="P6" s="1">
        <v>0</v>
      </c>
      <c r="U6" s="6" t="s">
        <v>32</v>
      </c>
      <c r="V6" t="s">
        <v>35</v>
      </c>
    </row>
    <row r="7" spans="1:30" x14ac:dyDescent="0.3">
      <c r="A7" s="7" t="s">
        <v>6</v>
      </c>
      <c r="B7" s="9">
        <v>0.44767441860465118</v>
      </c>
      <c r="C7" s="1">
        <v>192.5</v>
      </c>
      <c r="H7" s="7" t="s">
        <v>7</v>
      </c>
      <c r="I7" s="1">
        <v>0</v>
      </c>
      <c r="N7" s="7" t="s">
        <v>22</v>
      </c>
      <c r="O7" s="8">
        <v>4.5454545454545456E-2</v>
      </c>
      <c r="P7" s="1">
        <v>71.428571428571431</v>
      </c>
      <c r="U7" s="7" t="s">
        <v>27</v>
      </c>
      <c r="V7" s="1">
        <v>0</v>
      </c>
    </row>
    <row r="8" spans="1:30" x14ac:dyDescent="0.3">
      <c r="A8" s="7" t="s">
        <v>16</v>
      </c>
      <c r="B8" s="9">
        <v>6.3953488372093026E-2</v>
      </c>
      <c r="C8" s="1">
        <v>275</v>
      </c>
      <c r="H8" s="7" t="s">
        <v>10</v>
      </c>
      <c r="I8" s="1">
        <v>0</v>
      </c>
      <c r="N8" s="7" t="s">
        <v>26</v>
      </c>
      <c r="O8" s="8">
        <v>9.0909090909090912E-2</v>
      </c>
      <c r="P8" s="1">
        <v>71.428571428571431</v>
      </c>
      <c r="U8" s="7" t="s">
        <v>22</v>
      </c>
      <c r="V8" s="1">
        <v>71.428571428571431</v>
      </c>
    </row>
    <row r="9" spans="1:30" x14ac:dyDescent="0.3">
      <c r="A9" s="7" t="s">
        <v>11</v>
      </c>
      <c r="B9" s="9">
        <v>0.15697674418604651</v>
      </c>
      <c r="C9" s="1">
        <v>158.8235294117647</v>
      </c>
      <c r="H9" s="7" t="s">
        <v>6</v>
      </c>
      <c r="I9" s="1">
        <v>192.5</v>
      </c>
      <c r="N9" s="7" t="s">
        <v>25</v>
      </c>
      <c r="O9" s="8">
        <v>3.6363636363636362E-2</v>
      </c>
      <c r="P9" s="1">
        <v>80</v>
      </c>
      <c r="U9" s="7" t="s">
        <v>26</v>
      </c>
      <c r="V9" s="1">
        <v>71.428571428571431</v>
      </c>
    </row>
    <row r="10" spans="1:30" x14ac:dyDescent="0.3">
      <c r="A10" s="7" t="s">
        <v>9</v>
      </c>
      <c r="B10" s="9">
        <v>0.18604651162790697</v>
      </c>
      <c r="C10" s="1">
        <v>110.34482758620689</v>
      </c>
      <c r="H10" s="7" t="s">
        <v>16</v>
      </c>
      <c r="I10" s="1">
        <v>275</v>
      </c>
      <c r="N10" s="7" t="s">
        <v>30</v>
      </c>
      <c r="O10" s="8">
        <v>0.20909090909090908</v>
      </c>
      <c r="P10" s="1">
        <v>121.05263157894737</v>
      </c>
      <c r="U10" s="7" t="s">
        <v>25</v>
      </c>
      <c r="V10" s="1">
        <v>80</v>
      </c>
      <c r="AB10" s="6" t="s">
        <v>32</v>
      </c>
      <c r="AC10" t="s">
        <v>34</v>
      </c>
      <c r="AD10" t="s">
        <v>36</v>
      </c>
    </row>
    <row r="11" spans="1:30" x14ac:dyDescent="0.3">
      <c r="A11" s="7" t="s">
        <v>8</v>
      </c>
      <c r="B11" s="9">
        <v>0.14534883720930233</v>
      </c>
      <c r="C11" s="1">
        <v>104.16666666666667</v>
      </c>
      <c r="H11" s="7" t="s">
        <v>11</v>
      </c>
      <c r="I11" s="1">
        <v>158.8235294117647</v>
      </c>
      <c r="N11" s="7" t="s">
        <v>21</v>
      </c>
      <c r="O11" s="8">
        <v>3.6363636363636362E-2</v>
      </c>
      <c r="P11" s="1">
        <v>100</v>
      </c>
      <c r="U11" s="7" t="s">
        <v>30</v>
      </c>
      <c r="V11" s="1">
        <v>121.05263157894737</v>
      </c>
      <c r="AB11" s="7" t="s">
        <v>27</v>
      </c>
      <c r="AC11" s="19">
        <v>0</v>
      </c>
      <c r="AD11" s="19">
        <v>0</v>
      </c>
    </row>
    <row r="12" spans="1:30" x14ac:dyDescent="0.3">
      <c r="A12" s="7" t="s">
        <v>46</v>
      </c>
      <c r="B12" s="9">
        <v>0</v>
      </c>
      <c r="C12" s="1">
        <v>0</v>
      </c>
      <c r="H12" s="7" t="s">
        <v>9</v>
      </c>
      <c r="I12" s="1">
        <v>110.34482758620689</v>
      </c>
      <c r="N12" s="7" t="s">
        <v>20</v>
      </c>
      <c r="O12" s="8">
        <v>5.4545454545454543E-2</v>
      </c>
      <c r="P12" s="1">
        <v>300</v>
      </c>
      <c r="U12" s="7" t="s">
        <v>21</v>
      </c>
      <c r="V12" s="1">
        <v>100</v>
      </c>
      <c r="AB12" s="7" t="s">
        <v>22</v>
      </c>
      <c r="AC12" s="19">
        <v>0</v>
      </c>
      <c r="AD12" s="19">
        <v>0</v>
      </c>
    </row>
    <row r="13" spans="1:30" x14ac:dyDescent="0.3">
      <c r="A13" s="7" t="s">
        <v>47</v>
      </c>
      <c r="B13" s="9">
        <v>0</v>
      </c>
      <c r="C13" s="1">
        <v>0</v>
      </c>
      <c r="H13" s="7" t="s">
        <v>8</v>
      </c>
      <c r="I13" s="1">
        <v>104.16666666666667</v>
      </c>
      <c r="N13" s="7" t="s">
        <v>19</v>
      </c>
      <c r="O13" s="8">
        <v>0</v>
      </c>
      <c r="P13" s="1">
        <v>0</v>
      </c>
      <c r="U13" s="7" t="s">
        <v>20</v>
      </c>
      <c r="V13" s="1">
        <v>300</v>
      </c>
      <c r="AB13" s="7" t="s">
        <v>26</v>
      </c>
      <c r="AC13" s="19">
        <v>0</v>
      </c>
      <c r="AD13" s="19">
        <v>1</v>
      </c>
    </row>
    <row r="14" spans="1:30" x14ac:dyDescent="0.3">
      <c r="A14" s="7" t="s">
        <v>45</v>
      </c>
      <c r="B14" s="9">
        <v>0</v>
      </c>
      <c r="C14" s="1">
        <v>0</v>
      </c>
      <c r="H14" s="7" t="s">
        <v>46</v>
      </c>
      <c r="I14" s="1">
        <v>0</v>
      </c>
      <c r="N14" s="7" t="s">
        <v>24</v>
      </c>
      <c r="O14" s="8">
        <v>0.12727272727272726</v>
      </c>
      <c r="P14" s="1">
        <v>93.333333333333329</v>
      </c>
      <c r="U14" s="7" t="s">
        <v>19</v>
      </c>
      <c r="V14" s="1">
        <v>0</v>
      </c>
      <c r="AB14" s="7" t="s">
        <v>25</v>
      </c>
      <c r="AC14" s="19">
        <v>0</v>
      </c>
      <c r="AD14" s="19">
        <v>1</v>
      </c>
    </row>
    <row r="15" spans="1:30" x14ac:dyDescent="0.3">
      <c r="H15" s="7" t="s">
        <v>47</v>
      </c>
      <c r="I15" s="1">
        <v>0</v>
      </c>
      <c r="N15" s="7" t="s">
        <v>23</v>
      </c>
      <c r="O15" s="8">
        <v>0.4</v>
      </c>
      <c r="P15" s="1">
        <v>129.41176470588235</v>
      </c>
      <c r="U15" s="7" t="s">
        <v>24</v>
      </c>
      <c r="V15" s="1">
        <v>93.333333333333329</v>
      </c>
      <c r="AB15" s="7" t="s">
        <v>30</v>
      </c>
      <c r="AC15" s="19">
        <v>1</v>
      </c>
      <c r="AD15" s="19">
        <v>2</v>
      </c>
    </row>
    <row r="16" spans="1:30" x14ac:dyDescent="0.3">
      <c r="H16" s="7" t="s">
        <v>45</v>
      </c>
      <c r="I16" s="1">
        <v>0</v>
      </c>
      <c r="N16" s="7" t="s">
        <v>28</v>
      </c>
      <c r="O16" s="8">
        <v>0</v>
      </c>
      <c r="P16" s="1">
        <v>0</v>
      </c>
      <c r="U16" s="7" t="s">
        <v>23</v>
      </c>
      <c r="V16" s="1">
        <v>129.41176470588235</v>
      </c>
      <c r="AB16" s="7" t="s">
        <v>21</v>
      </c>
      <c r="AC16" s="19">
        <v>1</v>
      </c>
      <c r="AD16" s="19">
        <v>0</v>
      </c>
    </row>
    <row r="17" spans="21:30" x14ac:dyDescent="0.3">
      <c r="U17" s="7" t="s">
        <v>28</v>
      </c>
      <c r="V17" s="1">
        <v>0</v>
      </c>
      <c r="AB17" s="7" t="s">
        <v>20</v>
      </c>
      <c r="AC17" s="19">
        <v>0</v>
      </c>
      <c r="AD17" s="19">
        <v>1</v>
      </c>
    </row>
    <row r="18" spans="21:30" x14ac:dyDescent="0.3">
      <c r="AB18" s="7" t="s">
        <v>19</v>
      </c>
      <c r="AC18" s="19">
        <v>0</v>
      </c>
      <c r="AD18" s="19">
        <v>0</v>
      </c>
    </row>
    <row r="19" spans="21:30" x14ac:dyDescent="0.3">
      <c r="AB19" s="7" t="s">
        <v>24</v>
      </c>
      <c r="AC19" s="19">
        <v>0</v>
      </c>
      <c r="AD19" s="19">
        <v>1</v>
      </c>
    </row>
    <row r="20" spans="21:30" x14ac:dyDescent="0.3">
      <c r="AB20" s="7" t="s">
        <v>23</v>
      </c>
      <c r="AC20" s="19">
        <v>1</v>
      </c>
      <c r="AD20" s="19">
        <v>6</v>
      </c>
    </row>
    <row r="21" spans="21:30" x14ac:dyDescent="0.3">
      <c r="AB21" s="7" t="s">
        <v>28</v>
      </c>
      <c r="AC21" s="19">
        <v>0</v>
      </c>
      <c r="AD21" s="19">
        <v>0</v>
      </c>
    </row>
    <row r="34" spans="3:32" x14ac:dyDescent="0.3">
      <c r="C34" s="6" t="s">
        <v>32</v>
      </c>
      <c r="D34" t="s">
        <v>34</v>
      </c>
      <c r="E34" t="s">
        <v>36</v>
      </c>
    </row>
    <row r="35" spans="3:32" x14ac:dyDescent="0.3">
      <c r="C35" s="7" t="s">
        <v>12</v>
      </c>
      <c r="D35" s="19">
        <v>0</v>
      </c>
      <c r="E35" s="19">
        <v>0</v>
      </c>
    </row>
    <row r="36" spans="3:32" x14ac:dyDescent="0.3">
      <c r="C36" s="7" t="s">
        <v>7</v>
      </c>
      <c r="D36" s="19">
        <v>0</v>
      </c>
      <c r="E36" s="19">
        <v>0</v>
      </c>
    </row>
    <row r="37" spans="3:32" x14ac:dyDescent="0.3">
      <c r="C37" s="7" t="s">
        <v>10</v>
      </c>
      <c r="D37" s="19">
        <v>0</v>
      </c>
      <c r="E37" s="19">
        <v>0</v>
      </c>
    </row>
    <row r="38" spans="3:32" x14ac:dyDescent="0.3">
      <c r="C38" s="7" t="s">
        <v>6</v>
      </c>
      <c r="D38" s="19">
        <v>3</v>
      </c>
      <c r="E38" s="19">
        <v>10</v>
      </c>
      <c r="O38" s="6" t="s">
        <v>32</v>
      </c>
      <c r="P38" t="s">
        <v>33</v>
      </c>
      <c r="Q38" t="s">
        <v>52</v>
      </c>
      <c r="R38" t="s">
        <v>53</v>
      </c>
    </row>
    <row r="39" spans="3:32" x14ac:dyDescent="0.3">
      <c r="C39" s="7" t="s">
        <v>16</v>
      </c>
      <c r="D39" s="19">
        <v>1</v>
      </c>
      <c r="E39" s="19">
        <v>1</v>
      </c>
      <c r="O39" s="7" t="s">
        <v>12</v>
      </c>
      <c r="P39">
        <v>29</v>
      </c>
      <c r="Q39" s="12">
        <v>7.25</v>
      </c>
      <c r="R39">
        <v>4</v>
      </c>
    </row>
    <row r="40" spans="3:32" x14ac:dyDescent="0.3">
      <c r="C40" s="7" t="s">
        <v>11</v>
      </c>
      <c r="D40" s="19">
        <v>1</v>
      </c>
      <c r="E40" s="19">
        <v>3</v>
      </c>
      <c r="O40" s="7" t="s">
        <v>10</v>
      </c>
      <c r="P40">
        <v>16</v>
      </c>
      <c r="Q40" s="12">
        <v>5.333333333333333</v>
      </c>
      <c r="R40">
        <v>3</v>
      </c>
    </row>
    <row r="41" spans="3:32" x14ac:dyDescent="0.3">
      <c r="C41" s="7" t="s">
        <v>9</v>
      </c>
      <c r="D41" s="19">
        <v>0</v>
      </c>
      <c r="E41" s="19">
        <v>3</v>
      </c>
      <c r="O41" s="7" t="s">
        <v>45</v>
      </c>
      <c r="P41">
        <v>17</v>
      </c>
      <c r="Q41" s="12">
        <v>8.5</v>
      </c>
      <c r="R41">
        <v>2</v>
      </c>
    </row>
    <row r="42" spans="3:32" x14ac:dyDescent="0.3">
      <c r="C42" s="7" t="s">
        <v>8</v>
      </c>
      <c r="D42" s="19">
        <v>1</v>
      </c>
      <c r="E42" s="19">
        <v>2</v>
      </c>
      <c r="O42" s="7" t="s">
        <v>47</v>
      </c>
      <c r="P42">
        <v>14</v>
      </c>
      <c r="Q42" s="12">
        <v>4.666666666666667</v>
      </c>
      <c r="R42">
        <v>3</v>
      </c>
    </row>
    <row r="43" spans="3:32" x14ac:dyDescent="0.3">
      <c r="C43" s="7" t="s">
        <v>46</v>
      </c>
      <c r="D43" s="19">
        <v>0</v>
      </c>
      <c r="E43" s="19">
        <v>0</v>
      </c>
      <c r="O43" s="7" t="s">
        <v>48</v>
      </c>
      <c r="P43">
        <v>9</v>
      </c>
      <c r="Q43" s="12">
        <v>9</v>
      </c>
      <c r="R43">
        <v>1</v>
      </c>
    </row>
    <row r="44" spans="3:32" x14ac:dyDescent="0.3">
      <c r="C44" s="7" t="s">
        <v>47</v>
      </c>
      <c r="D44" s="19">
        <v>0</v>
      </c>
      <c r="E44" s="19">
        <v>0</v>
      </c>
      <c r="O44" s="7" t="s">
        <v>8</v>
      </c>
      <c r="P44">
        <v>11</v>
      </c>
      <c r="Q44" s="12">
        <v>5.5</v>
      </c>
      <c r="R44">
        <v>2</v>
      </c>
      <c r="V44" s="6" t="s">
        <v>32</v>
      </c>
      <c r="W44" t="s">
        <v>52</v>
      </c>
    </row>
    <row r="45" spans="3:32" x14ac:dyDescent="0.3">
      <c r="C45" s="7" t="s">
        <v>45</v>
      </c>
      <c r="D45" s="19">
        <v>0</v>
      </c>
      <c r="E45" s="19">
        <v>0</v>
      </c>
      <c r="O45" s="7" t="s">
        <v>46</v>
      </c>
      <c r="P45">
        <v>17</v>
      </c>
      <c r="Q45" s="12">
        <v>5.666666666666667</v>
      </c>
      <c r="R45">
        <v>3</v>
      </c>
      <c r="V45" s="7" t="s">
        <v>12</v>
      </c>
      <c r="W45" s="8">
        <v>0.15789473684210528</v>
      </c>
    </row>
    <row r="46" spans="3:32" x14ac:dyDescent="0.3">
      <c r="V46" s="7" t="s">
        <v>10</v>
      </c>
      <c r="W46" s="8">
        <v>0.1161524500907441</v>
      </c>
      <c r="AD46" s="6" t="s">
        <v>32</v>
      </c>
      <c r="AE46" t="s">
        <v>53</v>
      </c>
      <c r="AF46" t="s">
        <v>54</v>
      </c>
    </row>
    <row r="47" spans="3:32" x14ac:dyDescent="0.3">
      <c r="V47" s="7" t="s">
        <v>45</v>
      </c>
      <c r="W47" s="8">
        <v>0.18511796733212343</v>
      </c>
      <c r="AD47" s="7" t="s">
        <v>12</v>
      </c>
      <c r="AE47">
        <v>4</v>
      </c>
      <c r="AF47">
        <v>2</v>
      </c>
    </row>
    <row r="48" spans="3:32" x14ac:dyDescent="0.3">
      <c r="V48" s="7" t="s">
        <v>47</v>
      </c>
      <c r="W48" s="8">
        <v>0.10163339382940111</v>
      </c>
      <c r="AD48" s="7" t="s">
        <v>10</v>
      </c>
      <c r="AE48">
        <v>3</v>
      </c>
      <c r="AF48">
        <v>2</v>
      </c>
    </row>
    <row r="49" spans="1:32" x14ac:dyDescent="0.3">
      <c r="V49" s="7" t="s">
        <v>48</v>
      </c>
      <c r="W49" s="8">
        <v>0.1960072595281307</v>
      </c>
      <c r="AD49" s="7" t="s">
        <v>45</v>
      </c>
      <c r="AE49">
        <v>2</v>
      </c>
      <c r="AF49">
        <v>2</v>
      </c>
    </row>
    <row r="50" spans="1:32" x14ac:dyDescent="0.3">
      <c r="V50" s="7" t="s">
        <v>8</v>
      </c>
      <c r="W50" s="8">
        <v>0.11978221415607986</v>
      </c>
      <c r="AD50" s="7" t="s">
        <v>47</v>
      </c>
      <c r="AE50">
        <v>3</v>
      </c>
      <c r="AF50">
        <v>1</v>
      </c>
    </row>
    <row r="51" spans="1:32" x14ac:dyDescent="0.3">
      <c r="V51" s="7" t="s">
        <v>46</v>
      </c>
      <c r="W51" s="8">
        <v>0.12341197822141563</v>
      </c>
      <c r="AD51" s="7" t="s">
        <v>48</v>
      </c>
      <c r="AE51">
        <v>1</v>
      </c>
      <c r="AF51">
        <v>0</v>
      </c>
    </row>
    <row r="52" spans="1:32" x14ac:dyDescent="0.3">
      <c r="AD52" s="7" t="s">
        <v>8</v>
      </c>
      <c r="AE52">
        <v>2</v>
      </c>
      <c r="AF52">
        <v>1</v>
      </c>
    </row>
    <row r="53" spans="1:32" x14ac:dyDescent="0.3">
      <c r="AD53" s="7" t="s">
        <v>46</v>
      </c>
      <c r="AE53">
        <v>3</v>
      </c>
      <c r="AF53">
        <v>2</v>
      </c>
    </row>
    <row r="55" spans="1:32" x14ac:dyDescent="0.3">
      <c r="A55" s="6" t="s">
        <v>32</v>
      </c>
      <c r="B55" t="s">
        <v>53</v>
      </c>
      <c r="C55" t="s">
        <v>33</v>
      </c>
      <c r="D55" t="s">
        <v>52</v>
      </c>
    </row>
    <row r="56" spans="1:32" x14ac:dyDescent="0.3">
      <c r="A56" s="7" t="s">
        <v>51</v>
      </c>
      <c r="B56">
        <v>3</v>
      </c>
      <c r="C56">
        <v>38</v>
      </c>
      <c r="D56" s="1">
        <v>12.666666666666666</v>
      </c>
    </row>
    <row r="57" spans="1:32" x14ac:dyDescent="0.3">
      <c r="A57" s="7" t="s">
        <v>25</v>
      </c>
      <c r="B57">
        <v>4</v>
      </c>
      <c r="C57">
        <v>28</v>
      </c>
      <c r="D57" s="1">
        <v>7</v>
      </c>
    </row>
    <row r="58" spans="1:32" x14ac:dyDescent="0.3">
      <c r="A58" s="7" t="s">
        <v>50</v>
      </c>
      <c r="B58">
        <v>2</v>
      </c>
      <c r="C58">
        <v>31</v>
      </c>
      <c r="D58" s="1">
        <v>15.5</v>
      </c>
    </row>
    <row r="59" spans="1:32" x14ac:dyDescent="0.3">
      <c r="A59" s="7" t="s">
        <v>49</v>
      </c>
      <c r="B59">
        <v>2</v>
      </c>
      <c r="C59">
        <v>10</v>
      </c>
      <c r="D59" s="1">
        <v>5</v>
      </c>
      <c r="I59" s="6" t="s">
        <v>32</v>
      </c>
      <c r="J59" t="s">
        <v>52</v>
      </c>
    </row>
    <row r="60" spans="1:32" x14ac:dyDescent="0.3">
      <c r="A60" s="7" t="s">
        <v>20</v>
      </c>
      <c r="B60">
        <v>4</v>
      </c>
      <c r="C60">
        <v>25</v>
      </c>
      <c r="D60" s="1">
        <v>6.25</v>
      </c>
      <c r="I60" s="7" t="s">
        <v>51</v>
      </c>
      <c r="J60" s="8">
        <v>0.18247298919567828</v>
      </c>
    </row>
    <row r="61" spans="1:32" x14ac:dyDescent="0.3">
      <c r="A61" s="7" t="s">
        <v>24</v>
      </c>
      <c r="B61">
        <v>1</v>
      </c>
      <c r="C61">
        <v>17</v>
      </c>
      <c r="D61" s="1">
        <v>17</v>
      </c>
      <c r="I61" s="7" t="s">
        <v>25</v>
      </c>
      <c r="J61" s="8">
        <v>0.1008403361344538</v>
      </c>
    </row>
    <row r="62" spans="1:32" x14ac:dyDescent="0.3">
      <c r="A62" s="7" t="s">
        <v>28</v>
      </c>
      <c r="B62">
        <v>4</v>
      </c>
      <c r="C62">
        <v>24</v>
      </c>
      <c r="D62" s="1">
        <v>6</v>
      </c>
      <c r="I62" s="7" t="s">
        <v>50</v>
      </c>
      <c r="J62" s="8">
        <v>0.22328931572629054</v>
      </c>
    </row>
    <row r="63" spans="1:32" x14ac:dyDescent="0.3">
      <c r="I63" s="7" t="s">
        <v>49</v>
      </c>
      <c r="J63" s="8">
        <v>7.2028811524609854E-2</v>
      </c>
    </row>
    <row r="64" spans="1:32" x14ac:dyDescent="0.3">
      <c r="I64" s="7" t="s">
        <v>20</v>
      </c>
      <c r="J64" s="8">
        <v>9.0036014405762324E-2</v>
      </c>
    </row>
    <row r="65" spans="9:18" x14ac:dyDescent="0.3">
      <c r="I65" s="7" t="s">
        <v>24</v>
      </c>
      <c r="J65" s="8">
        <v>0.24489795918367349</v>
      </c>
    </row>
    <row r="66" spans="9:18" x14ac:dyDescent="0.3">
      <c r="I66" s="7" t="s">
        <v>28</v>
      </c>
      <c r="J66" s="8">
        <v>8.6434573829531819E-2</v>
      </c>
    </row>
    <row r="67" spans="9:18" x14ac:dyDescent="0.3">
      <c r="P67" s="6" t="s">
        <v>32</v>
      </c>
      <c r="Q67" t="s">
        <v>54</v>
      </c>
      <c r="R67" t="s">
        <v>53</v>
      </c>
    </row>
    <row r="68" spans="9:18" x14ac:dyDescent="0.3">
      <c r="P68" s="7" t="s">
        <v>51</v>
      </c>
      <c r="Q68">
        <v>0</v>
      </c>
      <c r="R68">
        <v>3</v>
      </c>
    </row>
    <row r="69" spans="9:18" x14ac:dyDescent="0.3">
      <c r="P69" s="7" t="s">
        <v>25</v>
      </c>
      <c r="Q69">
        <v>0</v>
      </c>
      <c r="R69">
        <v>4</v>
      </c>
    </row>
    <row r="70" spans="9:18" x14ac:dyDescent="0.3">
      <c r="P70" s="7" t="s">
        <v>50</v>
      </c>
      <c r="Q70">
        <v>1</v>
      </c>
      <c r="R70">
        <v>2</v>
      </c>
    </row>
    <row r="71" spans="9:18" x14ac:dyDescent="0.3">
      <c r="P71" s="7" t="s">
        <v>49</v>
      </c>
      <c r="Q71">
        <v>1</v>
      </c>
      <c r="R71">
        <v>2</v>
      </c>
    </row>
    <row r="72" spans="9:18" x14ac:dyDescent="0.3">
      <c r="P72" s="7" t="s">
        <v>20</v>
      </c>
      <c r="Q72">
        <v>3</v>
      </c>
      <c r="R72">
        <v>4</v>
      </c>
    </row>
    <row r="73" spans="9:18" x14ac:dyDescent="0.3">
      <c r="P73" s="7" t="s">
        <v>24</v>
      </c>
      <c r="Q73">
        <v>0</v>
      </c>
      <c r="R73">
        <v>1</v>
      </c>
    </row>
    <row r="74" spans="9:18" x14ac:dyDescent="0.3">
      <c r="P74" s="7" t="s">
        <v>28</v>
      </c>
      <c r="Q74">
        <v>1</v>
      </c>
      <c r="R74">
        <v>4</v>
      </c>
    </row>
  </sheetData>
  <pageMargins left="0.7" right="0.7" top="0.75" bottom="0.75" header="0.3" footer="0.3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67F1B-61DA-4286-8F9B-6930B909D826}">
  <dimension ref="A1:AS83"/>
  <sheetViews>
    <sheetView workbookViewId="0">
      <selection activeCell="V14" sqref="V14"/>
    </sheetView>
  </sheetViews>
  <sheetFormatPr defaultRowHeight="14.4" x14ac:dyDescent="0.3"/>
  <sheetData>
    <row r="1" spans="1:45" s="10" customForma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5"/>
      <c r="R1" s="15"/>
      <c r="S1" s="15"/>
      <c r="T1" s="15"/>
      <c r="U1" s="15"/>
      <c r="V1" s="15"/>
      <c r="W1" s="15"/>
      <c r="X1" s="15"/>
      <c r="Y1" s="15"/>
      <c r="Z1" s="15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spans="1:45" s="10" customForma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5"/>
      <c r="R2" s="15"/>
      <c r="S2" s="15"/>
      <c r="T2" s="15"/>
      <c r="U2" s="15"/>
      <c r="V2" s="15"/>
      <c r="W2" s="15"/>
      <c r="X2" s="15"/>
      <c r="Y2" s="15"/>
      <c r="Z2" s="15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</row>
    <row r="3" spans="1:45" s="10" customForma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5"/>
      <c r="R3" s="15"/>
      <c r="S3" s="15"/>
      <c r="T3" s="15"/>
      <c r="U3" s="15"/>
      <c r="V3" s="15"/>
      <c r="W3" s="15"/>
      <c r="X3" s="15"/>
      <c r="Y3" s="15"/>
      <c r="Z3" s="15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</row>
    <row r="4" spans="1:45" s="10" customForma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5"/>
      <c r="R4" s="15"/>
      <c r="S4" s="15"/>
      <c r="T4" s="15"/>
      <c r="U4" s="15"/>
      <c r="V4" s="15"/>
      <c r="W4" s="15"/>
      <c r="X4" s="15"/>
      <c r="Y4" s="15"/>
      <c r="Z4" s="15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1:45" s="10" customForma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5"/>
      <c r="R5" s="15"/>
      <c r="S5" s="15"/>
      <c r="T5" s="15"/>
      <c r="U5" s="15"/>
      <c r="V5" s="15"/>
      <c r="W5" s="15"/>
      <c r="X5" s="15"/>
      <c r="Y5" s="15"/>
      <c r="Z5" s="15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</row>
    <row r="6" spans="1:45" s="10" customForma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5"/>
      <c r="R6" s="15"/>
      <c r="S6" s="15"/>
      <c r="T6" s="15"/>
      <c r="U6" s="15"/>
      <c r="V6" s="15"/>
      <c r="W6" s="15"/>
      <c r="X6" s="15"/>
      <c r="Y6" s="15"/>
      <c r="Z6" s="15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</row>
    <row r="7" spans="1:45" s="10" customForma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5"/>
      <c r="R7" s="15"/>
      <c r="S7" s="15"/>
      <c r="T7" s="15"/>
      <c r="U7" s="15"/>
      <c r="V7" s="15"/>
      <c r="W7" s="15"/>
      <c r="X7" s="15"/>
      <c r="Y7" s="15"/>
      <c r="Z7" s="15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</row>
    <row r="8" spans="1:45" s="10" customForma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45" s="10" customForma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45" s="10" customForma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45" s="10" customForma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45" s="10" customForma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45" s="10" customForma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45" s="10" customForma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45" s="10" customForma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45" s="10" customForma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s="10" customForma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s="10" customForma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s="10" customForma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s="10" customForma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s="10" customForma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s="10" customForma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s="10" customForma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s="10" customForma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s="10" customForma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s="10" customForma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s="10" customForma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s="10" customForma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s="10" customForma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s="10" customForma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s="10" customForma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s="10" customForma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s="10" customForma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s="10" customForma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s="10" customFormat="1" x14ac:dyDescent="0.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s="10" customForma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s="10" customForma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s="10" customForma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s="10" customForma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s="10" customForma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s="10" customForma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x14ac:dyDescent="0.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6" x14ac:dyDescent="0.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6" x14ac:dyDescent="0.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6" x14ac:dyDescent="0.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6" x14ac:dyDescent="0.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6" x14ac:dyDescent="0.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6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 spans="1:24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 spans="1:24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 spans="1:24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 spans="1:24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 spans="1:24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 spans="1:24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 spans="1:24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 spans="1:24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spans="1:24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 spans="1:24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 spans="1:24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 spans="1:24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 spans="1:24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 spans="1:24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 spans="1:24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 spans="1:24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 spans="1:24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 spans="1:24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 spans="1:24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spans="1:24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spans="1:24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 spans="1:24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 spans="1:24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</row>
    <row r="77" spans="1:24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</row>
    <row r="78" spans="1:24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</row>
    <row r="79" spans="1:24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</row>
    <row r="80" spans="1:24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</row>
    <row r="81" spans="1:24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</row>
    <row r="82" spans="1:24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</row>
    <row r="83" spans="1:24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</row>
  </sheetData>
  <mergeCells count="1">
    <mergeCell ref="A1:P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D175-A068-4FE4-A181-8667D8FDE73C}">
  <dimension ref="A1:T29"/>
  <sheetViews>
    <sheetView tabSelected="1" workbookViewId="0">
      <selection activeCell="J10" sqref="J10"/>
    </sheetView>
  </sheetViews>
  <sheetFormatPr defaultRowHeight="14.4" x14ac:dyDescent="0.3"/>
  <cols>
    <col min="1" max="1" width="5.88671875" customWidth="1"/>
    <col min="2" max="2" width="13.88671875" customWidth="1"/>
    <col min="3" max="3" width="7.44140625" customWidth="1"/>
    <col min="4" max="4" width="12.33203125" customWidth="1"/>
    <col min="5" max="5" width="6.5546875" customWidth="1"/>
    <col min="6" max="6" width="5.88671875" customWidth="1"/>
    <col min="7" max="7" width="12.109375" bestFit="1" customWidth="1"/>
    <col min="8" max="8" width="12.77734375" bestFit="1" customWidth="1"/>
    <col min="14" max="14" width="13.88671875" customWidth="1"/>
    <col min="16" max="16" width="9.21875" customWidth="1"/>
    <col min="19" max="19" width="9.5546875" customWidth="1"/>
  </cols>
  <sheetData>
    <row r="1" spans="1:20" x14ac:dyDescent="0.3">
      <c r="D1" t="s">
        <v>38</v>
      </c>
      <c r="P1" s="18" t="s">
        <v>37</v>
      </c>
      <c r="Q1" s="18"/>
    </row>
    <row r="2" spans="1:20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13</v>
      </c>
      <c r="H2" s="3" t="s">
        <v>15</v>
      </c>
      <c r="M2" t="s">
        <v>0</v>
      </c>
      <c r="N2" t="s">
        <v>1</v>
      </c>
      <c r="O2" t="s">
        <v>2</v>
      </c>
      <c r="P2" t="s">
        <v>3</v>
      </c>
      <c r="Q2" t="s">
        <v>4</v>
      </c>
      <c r="R2" t="s">
        <v>5</v>
      </c>
      <c r="S2" t="s">
        <v>13</v>
      </c>
      <c r="T2" t="s">
        <v>15</v>
      </c>
    </row>
    <row r="3" spans="1:20" x14ac:dyDescent="0.3">
      <c r="A3" s="3">
        <v>1</v>
      </c>
      <c r="B3" s="3" t="s">
        <v>6</v>
      </c>
      <c r="C3" s="3">
        <v>77</v>
      </c>
      <c r="D3" s="3">
        <v>40</v>
      </c>
      <c r="E3" s="3">
        <v>3</v>
      </c>
      <c r="F3" s="3">
        <v>10</v>
      </c>
      <c r="G3" s="4">
        <f>(C3/D3)*100</f>
        <v>192.5</v>
      </c>
      <c r="H3" s="3" t="str">
        <f>_xlfn.IFS(RIGHT(B3,1)="*","Notout",TRUE,"Out")</f>
        <v>Out</v>
      </c>
      <c r="M3">
        <v>1</v>
      </c>
      <c r="N3" t="s">
        <v>19</v>
      </c>
      <c r="O3">
        <v>0</v>
      </c>
      <c r="P3">
        <v>4</v>
      </c>
      <c r="Q3">
        <v>0</v>
      </c>
      <c r="R3">
        <v>0</v>
      </c>
      <c r="S3" s="1">
        <f t="shared" ref="S3:S13" si="0">(O3/P3)*100</f>
        <v>0</v>
      </c>
      <c r="T3" t="str">
        <f t="shared" ref="T3:T13" si="1">_xlfn.IFS(RIGHT(N3,1)="*","Notout",TRUE,"Out")</f>
        <v>Out</v>
      </c>
    </row>
    <row r="4" spans="1:20" x14ac:dyDescent="0.3">
      <c r="A4" s="3">
        <v>2</v>
      </c>
      <c r="B4" s="3" t="s">
        <v>7</v>
      </c>
      <c r="C4" s="3">
        <v>0</v>
      </c>
      <c r="D4" s="3">
        <v>4</v>
      </c>
      <c r="E4" s="3">
        <v>0</v>
      </c>
      <c r="F4" s="3">
        <v>0</v>
      </c>
      <c r="G4" s="4">
        <f t="shared" ref="G4:G10" si="2">(C4/D4)*100</f>
        <v>0</v>
      </c>
      <c r="H4" s="3" t="str">
        <f>_xlfn.IFS(RIGHT(B3,1)="*","Notout",TRUE,"Out")</f>
        <v>Out</v>
      </c>
      <c r="M4">
        <v>2</v>
      </c>
      <c r="N4" t="s">
        <v>20</v>
      </c>
      <c r="O4">
        <v>6</v>
      </c>
      <c r="P4">
        <v>2</v>
      </c>
      <c r="Q4">
        <v>0</v>
      </c>
      <c r="R4">
        <v>1</v>
      </c>
      <c r="S4" s="1">
        <f t="shared" si="0"/>
        <v>300</v>
      </c>
      <c r="T4" t="str">
        <f t="shared" si="1"/>
        <v>Out</v>
      </c>
    </row>
    <row r="5" spans="1:20" x14ac:dyDescent="0.3">
      <c r="A5" s="3">
        <v>3</v>
      </c>
      <c r="B5" s="3" t="s">
        <v>8</v>
      </c>
      <c r="C5" s="3">
        <v>25</v>
      </c>
      <c r="D5" s="3">
        <v>24</v>
      </c>
      <c r="E5" s="3">
        <v>1</v>
      </c>
      <c r="F5" s="3">
        <v>2</v>
      </c>
      <c r="G5" s="4">
        <f t="shared" si="2"/>
        <v>104.16666666666667</v>
      </c>
      <c r="H5" s="3" t="str">
        <f t="shared" ref="H5:H10" si="3">_xlfn.IFS(RIGHT(B5,1)="*","Notout",TRUE,"Out")</f>
        <v>Out</v>
      </c>
      <c r="M5">
        <v>3</v>
      </c>
      <c r="N5" t="s">
        <v>21</v>
      </c>
      <c r="O5">
        <v>4</v>
      </c>
      <c r="P5">
        <v>4</v>
      </c>
      <c r="Q5">
        <v>1</v>
      </c>
      <c r="R5">
        <v>0</v>
      </c>
      <c r="S5" s="1">
        <f t="shared" si="0"/>
        <v>100</v>
      </c>
      <c r="T5" t="str">
        <f t="shared" si="1"/>
        <v>Out</v>
      </c>
    </row>
    <row r="6" spans="1:20" x14ac:dyDescent="0.3">
      <c r="A6" s="3">
        <v>4</v>
      </c>
      <c r="B6" s="3" t="s">
        <v>9</v>
      </c>
      <c r="C6" s="3">
        <v>32</v>
      </c>
      <c r="D6" s="3">
        <v>29</v>
      </c>
      <c r="E6" s="3">
        <v>0</v>
      </c>
      <c r="F6" s="3">
        <v>3</v>
      </c>
      <c r="G6" s="4">
        <f t="shared" si="2"/>
        <v>110.34482758620689</v>
      </c>
      <c r="H6" s="3" t="str">
        <f t="shared" si="3"/>
        <v>Out</v>
      </c>
      <c r="M6">
        <v>4</v>
      </c>
      <c r="N6" t="s">
        <v>22</v>
      </c>
      <c r="O6">
        <v>5</v>
      </c>
      <c r="P6">
        <v>7</v>
      </c>
      <c r="Q6">
        <v>0</v>
      </c>
      <c r="R6">
        <v>0</v>
      </c>
      <c r="S6" s="1">
        <f t="shared" si="0"/>
        <v>71.428571428571431</v>
      </c>
      <c r="T6" t="str">
        <f t="shared" si="1"/>
        <v>Out</v>
      </c>
    </row>
    <row r="7" spans="1:20" x14ac:dyDescent="0.3">
      <c r="A7" s="3">
        <v>5</v>
      </c>
      <c r="B7" s="3" t="s">
        <v>10</v>
      </c>
      <c r="C7" s="3">
        <v>0</v>
      </c>
      <c r="D7" s="3">
        <v>1</v>
      </c>
      <c r="E7" s="3">
        <v>0</v>
      </c>
      <c r="F7" s="3">
        <v>0</v>
      </c>
      <c r="G7" s="4">
        <f t="shared" si="2"/>
        <v>0</v>
      </c>
      <c r="H7" s="3" t="str">
        <f t="shared" si="3"/>
        <v>Out</v>
      </c>
      <c r="M7">
        <v>5</v>
      </c>
      <c r="N7" t="s">
        <v>23</v>
      </c>
      <c r="O7">
        <v>44</v>
      </c>
      <c r="P7">
        <v>34</v>
      </c>
      <c r="Q7">
        <v>1</v>
      </c>
      <c r="R7">
        <v>6</v>
      </c>
      <c r="S7" s="1">
        <f t="shared" si="0"/>
        <v>129.41176470588235</v>
      </c>
      <c r="T7" t="str">
        <f t="shared" si="1"/>
        <v>Out</v>
      </c>
    </row>
    <row r="8" spans="1:20" x14ac:dyDescent="0.3">
      <c r="A8" s="3">
        <v>6</v>
      </c>
      <c r="B8" s="3" t="s">
        <v>11</v>
      </c>
      <c r="C8" s="3">
        <v>27</v>
      </c>
      <c r="D8" s="3">
        <v>17</v>
      </c>
      <c r="E8" s="3">
        <v>1</v>
      </c>
      <c r="F8" s="3">
        <v>3</v>
      </c>
      <c r="G8" s="4">
        <f t="shared" si="2"/>
        <v>158.8235294117647</v>
      </c>
      <c r="H8" s="3" t="str">
        <f t="shared" si="3"/>
        <v>Out</v>
      </c>
      <c r="M8">
        <v>6</v>
      </c>
      <c r="N8" t="s">
        <v>24</v>
      </c>
      <c r="O8">
        <v>14</v>
      </c>
      <c r="P8">
        <v>15</v>
      </c>
      <c r="Q8">
        <v>0</v>
      </c>
      <c r="R8">
        <v>1</v>
      </c>
      <c r="S8" s="1">
        <f t="shared" si="0"/>
        <v>93.333333333333329</v>
      </c>
      <c r="T8" t="str">
        <f t="shared" si="1"/>
        <v>Out</v>
      </c>
    </row>
    <row r="9" spans="1:20" x14ac:dyDescent="0.3">
      <c r="A9" s="3">
        <v>7</v>
      </c>
      <c r="B9" s="3" t="s">
        <v>16</v>
      </c>
      <c r="C9" s="3">
        <v>11</v>
      </c>
      <c r="D9" s="3">
        <v>4</v>
      </c>
      <c r="E9" s="3">
        <v>1</v>
      </c>
      <c r="F9" s="3">
        <v>1</v>
      </c>
      <c r="G9" s="4">
        <f>(C9/D9)*100</f>
        <v>275</v>
      </c>
      <c r="H9" s="3" t="str">
        <f t="shared" si="3"/>
        <v>Notout</v>
      </c>
      <c r="M9">
        <v>7</v>
      </c>
      <c r="N9" t="s">
        <v>25</v>
      </c>
      <c r="O9">
        <v>4</v>
      </c>
      <c r="P9">
        <v>5</v>
      </c>
      <c r="Q9">
        <v>0</v>
      </c>
      <c r="R9">
        <v>1</v>
      </c>
      <c r="S9" s="1">
        <f t="shared" si="0"/>
        <v>80</v>
      </c>
      <c r="T9" t="str">
        <f t="shared" si="1"/>
        <v>Out</v>
      </c>
    </row>
    <row r="10" spans="1:20" x14ac:dyDescent="0.3">
      <c r="A10" s="3">
        <v>8</v>
      </c>
      <c r="B10" s="3" t="s">
        <v>12</v>
      </c>
      <c r="C10" s="3">
        <v>0</v>
      </c>
      <c r="D10" s="3">
        <v>1</v>
      </c>
      <c r="E10" s="3">
        <v>0</v>
      </c>
      <c r="F10" s="3">
        <v>0</v>
      </c>
      <c r="G10" s="4">
        <f t="shared" si="2"/>
        <v>0</v>
      </c>
      <c r="H10" s="3" t="str">
        <f t="shared" si="3"/>
        <v>Out</v>
      </c>
      <c r="M10">
        <v>8</v>
      </c>
      <c r="N10" t="s">
        <v>26</v>
      </c>
      <c r="O10">
        <v>10</v>
      </c>
      <c r="P10">
        <v>14</v>
      </c>
      <c r="Q10">
        <v>0</v>
      </c>
      <c r="R10">
        <v>1</v>
      </c>
      <c r="S10" s="1">
        <f t="shared" si="0"/>
        <v>71.428571428571431</v>
      </c>
      <c r="T10" t="str">
        <f t="shared" si="1"/>
        <v>Out</v>
      </c>
    </row>
    <row r="11" spans="1:20" x14ac:dyDescent="0.3">
      <c r="A11" s="3">
        <v>9</v>
      </c>
      <c r="B11" t="s">
        <v>46</v>
      </c>
      <c r="C11" s="3" t="s">
        <v>55</v>
      </c>
      <c r="D11" s="3" t="s">
        <v>55</v>
      </c>
      <c r="E11" s="3" t="s">
        <v>55</v>
      </c>
      <c r="F11" s="3" t="s">
        <v>55</v>
      </c>
      <c r="G11" s="3" t="s">
        <v>55</v>
      </c>
      <c r="H11" s="3" t="str">
        <f>_xlfn.IFS(C11="-","Notbatted",TRUE,"Batted")</f>
        <v>Notbatted</v>
      </c>
      <c r="M11">
        <v>9</v>
      </c>
      <c r="N11" t="s">
        <v>30</v>
      </c>
      <c r="O11">
        <v>23</v>
      </c>
      <c r="P11">
        <v>19</v>
      </c>
      <c r="Q11">
        <v>1</v>
      </c>
      <c r="R11">
        <v>2</v>
      </c>
      <c r="S11" s="1">
        <f t="shared" si="0"/>
        <v>121.05263157894737</v>
      </c>
      <c r="T11" t="str">
        <f t="shared" si="1"/>
        <v>Notout</v>
      </c>
    </row>
    <row r="12" spans="1:20" x14ac:dyDescent="0.3">
      <c r="A12" s="3">
        <v>10</v>
      </c>
      <c r="B12" t="s">
        <v>47</v>
      </c>
      <c r="C12" s="3" t="s">
        <v>55</v>
      </c>
      <c r="D12" s="3" t="s">
        <v>55</v>
      </c>
      <c r="E12" s="3" t="s">
        <v>55</v>
      </c>
      <c r="F12" s="3" t="s">
        <v>55</v>
      </c>
      <c r="G12" s="3" t="s">
        <v>55</v>
      </c>
      <c r="H12" s="3" t="str">
        <f t="shared" ref="H12:H13" si="4">_xlfn.IFS(C12="-","Notbatted",TRUE,"Batted")</f>
        <v>Notbatted</v>
      </c>
      <c r="M12">
        <v>10</v>
      </c>
      <c r="N12" t="s">
        <v>27</v>
      </c>
      <c r="O12">
        <v>0</v>
      </c>
      <c r="P12">
        <v>1</v>
      </c>
      <c r="Q12">
        <v>0</v>
      </c>
      <c r="R12">
        <v>0</v>
      </c>
      <c r="S12" s="1">
        <f t="shared" si="0"/>
        <v>0</v>
      </c>
      <c r="T12" t="str">
        <f t="shared" si="1"/>
        <v>Out</v>
      </c>
    </row>
    <row r="13" spans="1:20" x14ac:dyDescent="0.3">
      <c r="A13" s="3">
        <v>11</v>
      </c>
      <c r="B13" t="s">
        <v>45</v>
      </c>
      <c r="C13" s="3" t="s">
        <v>55</v>
      </c>
      <c r="D13" s="3" t="s">
        <v>55</v>
      </c>
      <c r="E13" s="3" t="s">
        <v>55</v>
      </c>
      <c r="F13" s="3" t="s">
        <v>55</v>
      </c>
      <c r="G13" s="3" t="s">
        <v>55</v>
      </c>
      <c r="H13" s="3" t="str">
        <f t="shared" si="4"/>
        <v>Notbatted</v>
      </c>
      <c r="M13">
        <v>11</v>
      </c>
      <c r="N13" t="s">
        <v>28</v>
      </c>
      <c r="O13">
        <v>0</v>
      </c>
      <c r="P13">
        <v>3</v>
      </c>
      <c r="Q13">
        <v>0</v>
      </c>
      <c r="R13">
        <v>0</v>
      </c>
      <c r="S13" s="1">
        <f t="shared" si="0"/>
        <v>0</v>
      </c>
      <c r="T13" t="str">
        <f t="shared" si="1"/>
        <v>Out</v>
      </c>
    </row>
    <row r="14" spans="1:20" x14ac:dyDescent="0.3">
      <c r="N14" s="2" t="s">
        <v>17</v>
      </c>
      <c r="O14">
        <f>SUM(O3:O13)</f>
        <v>110</v>
      </c>
      <c r="P14" s="2" t="s">
        <v>31</v>
      </c>
      <c r="Q14">
        <f>SUM(Q3:Q13)</f>
        <v>3</v>
      </c>
      <c r="R14">
        <f>SUM(R3:R13)</f>
        <v>12</v>
      </c>
      <c r="S14" s="1"/>
    </row>
    <row r="15" spans="1:20" x14ac:dyDescent="0.3">
      <c r="A15" s="3"/>
      <c r="B15" s="5" t="s">
        <v>14</v>
      </c>
      <c r="C15" s="3">
        <f>SUM(C3:C13)</f>
        <v>172</v>
      </c>
      <c r="D15" s="5" t="s">
        <v>31</v>
      </c>
      <c r="E15" s="3">
        <f>SUM(E3:E13)</f>
        <v>6</v>
      </c>
      <c r="F15" s="3">
        <f>SUM(F3:F13)</f>
        <v>19</v>
      </c>
      <c r="G15" s="4"/>
      <c r="H15" s="3"/>
      <c r="N15" s="2" t="s">
        <v>29</v>
      </c>
      <c r="O15">
        <f>COUNTIF(T3:T13,"Out")</f>
        <v>10</v>
      </c>
      <c r="P15">
        <f>SUM(P3:P13)/6</f>
        <v>18</v>
      </c>
      <c r="S15" s="1"/>
    </row>
    <row r="16" spans="1:20" x14ac:dyDescent="0.3">
      <c r="A16" s="3"/>
      <c r="B16" s="5" t="s">
        <v>18</v>
      </c>
      <c r="C16" s="3">
        <f>COUNTIF(H3:H13,"Out")</f>
        <v>7</v>
      </c>
      <c r="D16" s="3">
        <f>SUM(D3:D13)/6</f>
        <v>20</v>
      </c>
      <c r="E16" s="3"/>
      <c r="F16" s="3"/>
      <c r="G16" s="4"/>
      <c r="H16" s="3"/>
    </row>
    <row r="17" spans="1:19" x14ac:dyDescent="0.3">
      <c r="P17" s="18" t="s">
        <v>44</v>
      </c>
      <c r="Q17" s="18"/>
    </row>
    <row r="19" spans="1:19" x14ac:dyDescent="0.3">
      <c r="M19" t="s">
        <v>0</v>
      </c>
      <c r="N19" t="s">
        <v>40</v>
      </c>
      <c r="O19" t="s">
        <v>31</v>
      </c>
      <c r="P19" t="s">
        <v>41</v>
      </c>
      <c r="Q19" t="s">
        <v>2</v>
      </c>
      <c r="R19" t="s">
        <v>43</v>
      </c>
      <c r="S19" t="s">
        <v>42</v>
      </c>
    </row>
    <row r="20" spans="1:19" x14ac:dyDescent="0.3">
      <c r="D20" t="s">
        <v>39</v>
      </c>
      <c r="M20">
        <v>1</v>
      </c>
      <c r="N20" t="s">
        <v>49</v>
      </c>
      <c r="O20">
        <v>2</v>
      </c>
      <c r="P20">
        <v>0</v>
      </c>
      <c r="Q20">
        <v>10</v>
      </c>
      <c r="R20">
        <f>Q20/O20</f>
        <v>5</v>
      </c>
      <c r="S20">
        <v>1</v>
      </c>
    </row>
    <row r="21" spans="1:19" x14ac:dyDescent="0.3">
      <c r="M21">
        <v>2</v>
      </c>
      <c r="N21" t="s">
        <v>50</v>
      </c>
      <c r="O21">
        <v>2</v>
      </c>
      <c r="P21">
        <v>0</v>
      </c>
      <c r="Q21">
        <v>31</v>
      </c>
      <c r="R21">
        <f t="shared" ref="R21:R26" si="5">Q21/O21</f>
        <v>15.5</v>
      </c>
      <c r="S21">
        <v>1</v>
      </c>
    </row>
    <row r="22" spans="1:19" x14ac:dyDescent="0.3">
      <c r="A22" t="s">
        <v>0</v>
      </c>
      <c r="B22" t="s">
        <v>40</v>
      </c>
      <c r="C22" t="s">
        <v>31</v>
      </c>
      <c r="D22" t="s">
        <v>41</v>
      </c>
      <c r="E22" t="s">
        <v>2</v>
      </c>
      <c r="F22" t="s">
        <v>43</v>
      </c>
      <c r="G22" t="s">
        <v>42</v>
      </c>
      <c r="M22">
        <v>3</v>
      </c>
      <c r="N22" t="s">
        <v>20</v>
      </c>
      <c r="O22">
        <v>4</v>
      </c>
      <c r="P22">
        <v>0</v>
      </c>
      <c r="Q22">
        <v>25</v>
      </c>
      <c r="R22">
        <f t="shared" si="5"/>
        <v>6.25</v>
      </c>
      <c r="S22">
        <v>3</v>
      </c>
    </row>
    <row r="23" spans="1:19" x14ac:dyDescent="0.3">
      <c r="A23">
        <v>1</v>
      </c>
      <c r="B23" t="s">
        <v>10</v>
      </c>
      <c r="C23">
        <v>3</v>
      </c>
      <c r="D23">
        <v>1</v>
      </c>
      <c r="E23">
        <v>16</v>
      </c>
      <c r="F23">
        <f>(E23/C23)</f>
        <v>5.333333333333333</v>
      </c>
      <c r="G23">
        <v>2</v>
      </c>
      <c r="M23">
        <v>4</v>
      </c>
      <c r="N23" t="s">
        <v>51</v>
      </c>
      <c r="O23">
        <v>3</v>
      </c>
      <c r="P23">
        <v>0</v>
      </c>
      <c r="Q23">
        <v>38</v>
      </c>
      <c r="R23" s="1">
        <f>Q23/O23</f>
        <v>12.666666666666666</v>
      </c>
      <c r="S23">
        <v>0</v>
      </c>
    </row>
    <row r="24" spans="1:19" x14ac:dyDescent="0.3">
      <c r="A24">
        <v>2</v>
      </c>
      <c r="B24" t="s">
        <v>45</v>
      </c>
      <c r="C24">
        <v>2</v>
      </c>
      <c r="D24">
        <v>0</v>
      </c>
      <c r="E24">
        <v>17</v>
      </c>
      <c r="F24">
        <f t="shared" ref="F24:F29" si="6">(E24/C24)</f>
        <v>8.5</v>
      </c>
      <c r="G24">
        <v>2</v>
      </c>
      <c r="M24">
        <v>5</v>
      </c>
      <c r="N24" t="s">
        <v>24</v>
      </c>
      <c r="O24">
        <v>1</v>
      </c>
      <c r="P24">
        <v>0</v>
      </c>
      <c r="Q24">
        <v>17</v>
      </c>
      <c r="R24">
        <f t="shared" si="5"/>
        <v>17</v>
      </c>
      <c r="S24">
        <v>0</v>
      </c>
    </row>
    <row r="25" spans="1:19" x14ac:dyDescent="0.3">
      <c r="A25">
        <v>3</v>
      </c>
      <c r="B25" t="s">
        <v>12</v>
      </c>
      <c r="C25">
        <v>4</v>
      </c>
      <c r="D25">
        <v>0</v>
      </c>
      <c r="E25">
        <v>29</v>
      </c>
      <c r="F25">
        <f t="shared" si="6"/>
        <v>7.25</v>
      </c>
      <c r="G25">
        <v>2</v>
      </c>
      <c r="M25">
        <v>6</v>
      </c>
      <c r="N25" t="s">
        <v>25</v>
      </c>
      <c r="O25">
        <v>4</v>
      </c>
      <c r="P25">
        <v>0</v>
      </c>
      <c r="Q25">
        <v>28</v>
      </c>
      <c r="R25">
        <f t="shared" si="5"/>
        <v>7</v>
      </c>
      <c r="S25">
        <v>0</v>
      </c>
    </row>
    <row r="26" spans="1:19" x14ac:dyDescent="0.3">
      <c r="A26">
        <v>4</v>
      </c>
      <c r="B26" t="s">
        <v>46</v>
      </c>
      <c r="C26">
        <v>3</v>
      </c>
      <c r="D26">
        <v>0</v>
      </c>
      <c r="E26">
        <v>17</v>
      </c>
      <c r="F26">
        <f t="shared" si="6"/>
        <v>5.666666666666667</v>
      </c>
      <c r="G26">
        <v>2</v>
      </c>
      <c r="M26">
        <v>7</v>
      </c>
      <c r="N26" t="s">
        <v>28</v>
      </c>
      <c r="O26">
        <v>4</v>
      </c>
      <c r="P26">
        <v>0</v>
      </c>
      <c r="Q26">
        <v>24</v>
      </c>
      <c r="R26">
        <f t="shared" si="5"/>
        <v>6</v>
      </c>
      <c r="S26">
        <v>1</v>
      </c>
    </row>
    <row r="27" spans="1:19" x14ac:dyDescent="0.3">
      <c r="A27">
        <v>5</v>
      </c>
      <c r="B27" t="s">
        <v>47</v>
      </c>
      <c r="C27">
        <v>3</v>
      </c>
      <c r="D27">
        <v>0</v>
      </c>
      <c r="E27">
        <v>14</v>
      </c>
      <c r="F27">
        <f t="shared" si="6"/>
        <v>4.666666666666667</v>
      </c>
      <c r="G27">
        <v>1</v>
      </c>
    </row>
    <row r="28" spans="1:19" x14ac:dyDescent="0.3">
      <c r="A28">
        <v>6</v>
      </c>
      <c r="B28" t="s">
        <v>8</v>
      </c>
      <c r="C28">
        <v>2</v>
      </c>
      <c r="D28">
        <v>0</v>
      </c>
      <c r="E28">
        <v>11</v>
      </c>
      <c r="F28">
        <f t="shared" si="6"/>
        <v>5.5</v>
      </c>
      <c r="G28">
        <v>1</v>
      </c>
    </row>
    <row r="29" spans="1:19" x14ac:dyDescent="0.3">
      <c r="A29">
        <v>7</v>
      </c>
      <c r="B29" t="s">
        <v>48</v>
      </c>
      <c r="C29">
        <v>1</v>
      </c>
      <c r="D29">
        <v>0</v>
      </c>
      <c r="E29">
        <v>9</v>
      </c>
      <c r="F29">
        <f t="shared" si="6"/>
        <v>9</v>
      </c>
      <c r="G29">
        <v>0</v>
      </c>
    </row>
  </sheetData>
  <mergeCells count="2">
    <mergeCell ref="P1:Q1"/>
    <mergeCell ref="P17:Q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Dashboard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Sekhar</dc:creator>
  <cp:lastModifiedBy>Chandra Sekhar</cp:lastModifiedBy>
  <dcterms:created xsi:type="dcterms:W3CDTF">2026-02-16T07:02:37Z</dcterms:created>
  <dcterms:modified xsi:type="dcterms:W3CDTF">2026-03-05T09:34:11Z</dcterms:modified>
</cp:coreProperties>
</file>